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Configuration" sheetId="1" state="visible" r:id="rId1"/>
    <sheet xmlns:r="http://schemas.openxmlformats.org/officeDocument/2006/relationships" name="Audience Growth" sheetId="2" state="visible" r:id="rId2"/>
    <sheet xmlns:r="http://schemas.openxmlformats.org/officeDocument/2006/relationships" name="CFO Projections" sheetId="3" state="visible" r:id="rId3"/>
    <sheet xmlns:r="http://schemas.openxmlformats.org/officeDocument/2006/relationships" name="Reconcilia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85723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1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7" customWidth="1" min="2" max="2"/>
    <col width="14" customWidth="1" min="3" max="3"/>
    <col width="19" customWidth="1" min="4" max="4"/>
    <col width="23" customWidth="1" min="5" max="5"/>
  </cols>
  <sheetData>
    <row r="1">
      <c r="A1" s="1" t="inlineStr">
        <is>
          <t>Z1 Simulation V2 - CFO &amp; Tokenomics Model Inputs</t>
        </is>
      </c>
    </row>
    <row r="2">
      <c r="A2" s="2" t="inlineStr">
        <is>
          <t>Configuration block and FX assumptions for the M3 Full Economy model</t>
        </is>
      </c>
    </row>
    <row r="3"/>
    <row r="4">
      <c r="A4" s="3" t="inlineStr">
        <is>
          <t>Parameter</t>
        </is>
      </c>
      <c r="B4" s="3" t="inlineStr">
        <is>
          <t>Key / Cohort</t>
        </is>
      </c>
      <c r="C4" s="3" t="inlineStr">
        <is>
          <t>Type</t>
        </is>
      </c>
      <c r="D4" s="3" t="inlineStr">
        <is>
          <t>Baseline Value</t>
        </is>
      </c>
      <c r="E4" s="3" t="inlineStr">
        <is>
          <t>Source / Reference</t>
        </is>
      </c>
    </row>
    <row r="5">
      <c r="A5" s="4" t="inlineStr">
        <is>
          <t>initial_viewers</t>
        </is>
      </c>
      <c r="B5" s="4" t="inlineStr">
        <is>
          <t>Global</t>
        </is>
      </c>
      <c r="C5" s="4" t="inlineStr">
        <is>
          <t>Integer</t>
        </is>
      </c>
      <c r="D5" s="5" t="n">
        <v>1000000</v>
      </c>
      <c r="E5" s="4" t="inlineStr">
        <is>
          <t>M1 Config</t>
        </is>
      </c>
    </row>
    <row r="6">
      <c r="A6" s="4" t="inlineStr">
        <is>
          <t>adoption_profile</t>
        </is>
      </c>
      <c r="B6" s="4" t="inlineStr">
        <is>
          <t>Global</t>
        </is>
      </c>
      <c r="C6" s="4" t="inlineStr">
        <is>
          <t>String</t>
        </is>
      </c>
      <c r="D6" s="4" t="inlineStr">
        <is>
          <t>linear</t>
        </is>
      </c>
      <c r="E6" s="4" t="inlineStr">
        <is>
          <t>M1 Config</t>
        </is>
      </c>
    </row>
    <row r="7">
      <c r="A7" s="4" t="inlineStr">
        <is>
          <t>n_epochs</t>
        </is>
      </c>
      <c r="B7" s="4" t="inlineStr">
        <is>
          <t>Global</t>
        </is>
      </c>
      <c r="C7" s="4" t="inlineStr">
        <is>
          <t>Integer</t>
        </is>
      </c>
      <c r="D7" s="5" t="n">
        <v>260</v>
      </c>
      <c r="E7" s="4" t="inlineStr">
        <is>
          <t>M1 Config</t>
        </is>
      </c>
    </row>
    <row r="8">
      <c r="A8" s="4" t="inlineStr">
        <is>
          <t>initial_ar</t>
        </is>
      </c>
      <c r="B8" s="4" t="inlineStr">
        <is>
          <t>Global</t>
        </is>
      </c>
      <c r="C8" s="4" t="inlineStr">
        <is>
          <t>Float</t>
        </is>
      </c>
      <c r="D8" s="6" t="n">
        <v>5000000</v>
      </c>
      <c r="E8" s="4" t="inlineStr">
        <is>
          <t>M3 Config</t>
        </is>
      </c>
    </row>
    <row r="9">
      <c r="A9" s="4" t="inlineStr">
        <is>
          <t>initial_treasury</t>
        </is>
      </c>
      <c r="B9" s="4" t="inlineStr">
        <is>
          <t>Global</t>
        </is>
      </c>
      <c r="C9" s="4" t="inlineStr">
        <is>
          <t>Float</t>
        </is>
      </c>
      <c r="D9" s="6" t="n">
        <v>2500000</v>
      </c>
      <c r="E9" s="4" t="inlineStr">
        <is>
          <t>M3 Config</t>
        </is>
      </c>
    </row>
    <row r="10">
      <c r="A10" s="4" t="inlineStr">
        <is>
          <t>settlement_ratio</t>
        </is>
      </c>
      <c r="B10" s="4" t="inlineStr">
        <is>
          <t>Global</t>
        </is>
      </c>
      <c r="C10" s="4" t="inlineStr">
        <is>
          <t>Float</t>
        </is>
      </c>
      <c r="D10" s="6" t="n">
        <v>0.1047</v>
      </c>
      <c r="E10" s="4" t="inlineStr">
        <is>
          <t>M3 Config</t>
        </is>
      </c>
    </row>
    <row r="11">
      <c r="A11" s="4" t="inlineStr">
        <is>
          <t>utility_fee_share</t>
        </is>
      </c>
      <c r="B11" s="4" t="inlineStr">
        <is>
          <t>Global</t>
        </is>
      </c>
      <c r="C11" s="4" t="inlineStr">
        <is>
          <t>Float</t>
        </is>
      </c>
      <c r="D11" s="6" t="n">
        <v>0.34</v>
      </c>
      <c r="E11" s="4" t="inlineStr">
        <is>
          <t>M3 Config</t>
        </is>
      </c>
    </row>
    <row r="12">
      <c r="A12" s="4" t="inlineStr">
        <is>
          <t>utility_burn_share</t>
        </is>
      </c>
      <c r="B12" s="4" t="inlineStr">
        <is>
          <t>Global</t>
        </is>
      </c>
      <c r="C12" s="4" t="inlineStr">
        <is>
          <t>Float</t>
        </is>
      </c>
      <c r="D12" s="6" t="n">
        <v>0.05</v>
      </c>
      <c r="E12" s="4" t="inlineStr">
        <is>
          <t>M3 Config</t>
        </is>
      </c>
    </row>
    <row r="13">
      <c r="A13" s="4" t="inlineStr">
        <is>
          <t>inr_to_usd_rate</t>
        </is>
      </c>
      <c r="B13" s="4" t="inlineStr">
        <is>
          <t>FX Rate</t>
        </is>
      </c>
      <c r="C13" s="4" t="inlineStr">
        <is>
          <t>Float</t>
        </is>
      </c>
      <c r="D13" s="6" t="n">
        <v>0.012</v>
      </c>
      <c r="E13" s="4" t="inlineStr">
        <is>
          <t>Assumed FX Rate</t>
        </is>
      </c>
    </row>
    <row r="14">
      <c r="A14" s="4" t="inlineStr">
        <is>
          <t>value_per_profile_inr</t>
        </is>
      </c>
      <c r="B14" s="4" t="inlineStr">
        <is>
          <t>CDP</t>
        </is>
      </c>
      <c r="C14" s="4" t="inlineStr">
        <is>
          <t>Float</t>
        </is>
      </c>
      <c r="D14" s="6" t="n">
        <v>38.36</v>
      </c>
      <c r="E14" s="4" t="inlineStr">
        <is>
          <t>PDF Page 136</t>
        </is>
      </c>
    </row>
    <row r="15">
      <c r="A15" s="4" t="inlineStr">
        <is>
          <t>gold_coin_cpa_inr</t>
        </is>
      </c>
      <c r="B15" s="4" t="inlineStr">
        <is>
          <t>CAC</t>
        </is>
      </c>
      <c r="C15" s="4" t="inlineStr">
        <is>
          <t>Float</t>
        </is>
      </c>
      <c r="D15" s="6" t="n">
        <v>0.35</v>
      </c>
      <c r="E15" s="4" t="inlineStr">
        <is>
          <t>PDF Page 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7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Audience Growth &amp; Conversion Funnel Projections</t>
        </is>
      </c>
    </row>
    <row r="2">
      <c r="A2" s="2" t="inlineStr">
        <is>
          <t>Addressable audience conversion to verified profiles and active users</t>
        </is>
      </c>
    </row>
    <row r="3"/>
    <row r="4">
      <c r="A4" s="3" t="inlineStr">
        <is>
          <t>Epoch</t>
        </is>
      </c>
      <c r="B4" s="3" t="inlineStr">
        <is>
          <t>Cumulative Addressable</t>
        </is>
      </c>
      <c r="C4" s="3" t="inlineStr">
        <is>
          <t>Reachable</t>
        </is>
      </c>
      <c r="D4" s="3" t="inlineStr">
        <is>
          <t>Exposed Users</t>
        </is>
      </c>
      <c r="E4" s="3" t="inlineStr">
        <is>
          <t>Participants</t>
        </is>
      </c>
      <c r="F4" s="3" t="inlineStr">
        <is>
          <t>Registered Users</t>
        </is>
      </c>
      <c r="G4" s="3" t="inlineStr">
        <is>
          <t>Verified Profiles</t>
        </is>
      </c>
      <c r="H4" s="3" t="inlineStr">
        <is>
          <t>Eligible Users</t>
        </is>
      </c>
      <c r="I4" s="3" t="inlineStr">
        <is>
          <t>MAU</t>
        </is>
      </c>
    </row>
    <row r="5">
      <c r="A5" s="7" t="n">
        <v>1</v>
      </c>
      <c r="B5" s="5" t="n">
        <v>27039211.90637662</v>
      </c>
      <c r="C5" s="5" t="n">
        <v>27039211.90637662</v>
      </c>
      <c r="D5" s="5" t="n">
        <v>10815684.76255065</v>
      </c>
      <c r="E5" s="5" t="n">
        <v>2703921.190637663</v>
      </c>
      <c r="F5" s="5" t="n">
        <v>1811627.197727234</v>
      </c>
      <c r="G5" s="5" t="n">
        <v>1358720.398295426</v>
      </c>
      <c r="H5" s="5" t="n">
        <v>1086976.318636341</v>
      </c>
      <c r="I5" s="5" t="n">
        <v>95000000</v>
      </c>
    </row>
    <row r="6">
      <c r="A6" s="7" t="n">
        <v>2</v>
      </c>
      <c r="B6" s="5" t="n">
        <v>31930249.37907483</v>
      </c>
      <c r="C6" s="5" t="n">
        <v>31930249.37907483</v>
      </c>
      <c r="D6" s="5" t="n">
        <v>12772099.75162993</v>
      </c>
      <c r="E6" s="5" t="n">
        <v>3193024.937907483</v>
      </c>
      <c r="F6" s="5" t="n">
        <v>2139326.708398014</v>
      </c>
      <c r="G6" s="5" t="n">
        <v>1604495.03129851</v>
      </c>
      <c r="H6" s="5" t="n">
        <v>1283596.025038808</v>
      </c>
      <c r="I6" s="5" t="n">
        <v>85827699.51067078</v>
      </c>
    </row>
    <row r="7">
      <c r="A7" s="7" t="n">
        <v>3</v>
      </c>
      <c r="B7" s="5" t="n">
        <v>37227175.81193107</v>
      </c>
      <c r="C7" s="5" t="n">
        <v>37227175.81193107</v>
      </c>
      <c r="D7" s="5" t="n">
        <v>14890870.32477243</v>
      </c>
      <c r="E7" s="5" t="n">
        <v>3722717.581193108</v>
      </c>
      <c r="F7" s="5" t="n">
        <v>2494220.779399382</v>
      </c>
      <c r="G7" s="5" t="n">
        <v>1870665.584549537</v>
      </c>
      <c r="H7" s="5" t="n">
        <v>1496532.46763963</v>
      </c>
      <c r="I7" s="5" t="n">
        <v>77599823.63060507</v>
      </c>
    </row>
    <row r="8">
      <c r="A8" s="7" t="n">
        <v>4</v>
      </c>
      <c r="B8" s="5" t="n">
        <v>42960900.93959272</v>
      </c>
      <c r="C8" s="5" t="n">
        <v>42960900.93959272</v>
      </c>
      <c r="D8" s="5" t="n">
        <v>17184360.37583709</v>
      </c>
      <c r="E8" s="5" t="n">
        <v>4296090.093959272</v>
      </c>
      <c r="F8" s="5" t="n">
        <v>2878380.362952712</v>
      </c>
      <c r="G8" s="5" t="n">
        <v>2158785.272214534</v>
      </c>
      <c r="H8" s="5" t="n">
        <v>1727028.217771627</v>
      </c>
      <c r="I8" s="5" t="n">
        <v>70224000.8510979</v>
      </c>
    </row>
    <row r="9">
      <c r="A9" s="7" t="n">
        <v>5</v>
      </c>
      <c r="B9" s="5" t="n">
        <v>49163721.1565918</v>
      </c>
      <c r="C9" s="5" t="n">
        <v>49163721.1565918</v>
      </c>
      <c r="D9" s="5" t="n">
        <v>19665488.46263672</v>
      </c>
      <c r="E9" s="5" t="n">
        <v>4916372.11565918</v>
      </c>
      <c r="F9" s="5" t="n">
        <v>3293969.317491651</v>
      </c>
      <c r="G9" s="5" t="n">
        <v>2470476.988118738</v>
      </c>
      <c r="H9" s="5" t="n">
        <v>1976381.590494991</v>
      </c>
      <c r="I9" s="5" t="n">
        <v>63617189.72052705</v>
      </c>
    </row>
    <row r="10">
      <c r="A10" s="7" t="n">
        <v>6</v>
      </c>
      <c r="B10" s="5" t="n">
        <v>55869158.49612082</v>
      </c>
      <c r="C10" s="5" t="n">
        <v>55869158.49612082</v>
      </c>
      <c r="D10" s="5" t="n">
        <v>22347663.39844833</v>
      </c>
      <c r="E10" s="5" t="n">
        <v>5586915.849612082</v>
      </c>
      <c r="F10" s="5" t="n">
        <v>3743233.619240095</v>
      </c>
      <c r="G10" s="5" t="n">
        <v>2807425.214430071</v>
      </c>
      <c r="H10" s="5" t="n">
        <v>2245940.171544057</v>
      </c>
      <c r="I10" s="5" t="n">
        <v>57704735.0502228</v>
      </c>
    </row>
    <row r="11">
      <c r="A11" s="7" t="n">
        <v>7</v>
      </c>
      <c r="B11" s="5" t="n">
        <v>63111740.93883269</v>
      </c>
      <c r="C11" s="5" t="n">
        <v>63111740.93883269</v>
      </c>
      <c r="D11" s="5" t="n">
        <v>25244696.37553308</v>
      </c>
      <c r="E11" s="5" t="n">
        <v>6311174.093883269</v>
      </c>
      <c r="F11" s="5" t="n">
        <v>4228486.642901791</v>
      </c>
      <c r="G11" s="5" t="n">
        <v>3171364.982176343</v>
      </c>
      <c r="H11" s="5" t="n">
        <v>2537091.985741075</v>
      </c>
      <c r="I11" s="5" t="n">
        <v>52419514.56886221</v>
      </c>
    </row>
    <row r="12">
      <c r="A12" s="7" t="n">
        <v>8</v>
      </c>
      <c r="B12" s="5" t="n">
        <v>70926715.46629468</v>
      </c>
      <c r="C12" s="5" t="n">
        <v>70926715.46629468</v>
      </c>
      <c r="D12" s="5" t="n">
        <v>28370686.18651787</v>
      </c>
      <c r="E12" s="5" t="n">
        <v>7092671.546629468</v>
      </c>
      <c r="F12" s="5" t="n">
        <v>4752089.936241744</v>
      </c>
      <c r="G12" s="5" t="n">
        <v>3564067.452181308</v>
      </c>
      <c r="H12" s="5" t="n">
        <v>2851253.961745047</v>
      </c>
      <c r="I12" s="5" t="n">
        <v>47701166.40531595</v>
      </c>
    </row>
    <row r="13">
      <c r="A13" s="7" t="n">
        <v>9</v>
      </c>
      <c r="B13" s="5" t="n">
        <v>79349685.38187405</v>
      </c>
      <c r="C13" s="5" t="n">
        <v>79349685.38187405</v>
      </c>
      <c r="D13" s="5" t="n">
        <v>31739874.15274962</v>
      </c>
      <c r="E13" s="5" t="n">
        <v>7934968.538187406</v>
      </c>
      <c r="F13" s="5" t="n">
        <v>5316428.920585562</v>
      </c>
      <c r="G13" s="5" t="n">
        <v>3987321.690439172</v>
      </c>
      <c r="H13" s="5" t="n">
        <v>3189857.352351338</v>
      </c>
      <c r="I13" s="5" t="n">
        <v>43495388.74912818</v>
      </c>
    </row>
    <row r="14">
      <c r="A14" s="7" t="n">
        <v>10</v>
      </c>
      <c r="B14" s="5" t="n">
        <v>88416164.00281359</v>
      </c>
      <c r="C14" s="5" t="n">
        <v>88416164.00281359</v>
      </c>
      <c r="D14" s="5" t="n">
        <v>35366465.60112544</v>
      </c>
      <c r="E14" s="5" t="n">
        <v>8841616.40028136</v>
      </c>
      <c r="F14" s="5" t="n">
        <v>5923882.988188512</v>
      </c>
      <c r="G14" s="5" t="n">
        <v>4442912.241141384</v>
      </c>
      <c r="H14" s="5" t="n">
        <v>3554329.792913107</v>
      </c>
      <c r="I14" s="5" t="n">
        <v>39753303.94181831</v>
      </c>
    </row>
    <row r="15">
      <c r="A15" s="7" t="n">
        <v>11</v>
      </c>
      <c r="B15" s="5" t="n">
        <v>98161038.02026939</v>
      </c>
      <c r="C15" s="5" t="n">
        <v>98161038.02026939</v>
      </c>
      <c r="D15" s="5" t="n">
        <v>39264415.20810776</v>
      </c>
      <c r="E15" s="5" t="n">
        <v>9816103.802026941</v>
      </c>
      <c r="F15" s="5" t="n">
        <v>6576789.547358051</v>
      </c>
      <c r="G15" s="5" t="n">
        <v>4932592.160518538</v>
      </c>
      <c r="H15" s="5" t="n">
        <v>3946073.728414831</v>
      </c>
      <c r="I15" s="5" t="n">
        <v>36430880.10680602</v>
      </c>
    </row>
    <row r="16">
      <c r="A16" s="7" t="n">
        <v>12</v>
      </c>
      <c r="B16" s="5" t="n">
        <v>108617935.7756625</v>
      </c>
      <c r="C16" s="5" t="n">
        <v>108617935.7756625</v>
      </c>
      <c r="D16" s="5" t="n">
        <v>43447174.310265</v>
      </c>
      <c r="E16" s="5" t="n">
        <v>10861793.57756625</v>
      </c>
      <c r="F16" s="5" t="n">
        <v>7277401.696969389</v>
      </c>
      <c r="G16" s="5" t="n">
        <v>5458051.272727042</v>
      </c>
      <c r="H16" s="5" t="n">
        <v>4366441.018181633</v>
      </c>
      <c r="I16" s="5" t="n">
        <v>33488404.24573676</v>
      </c>
    </row>
    <row r="17">
      <c r="A17" s="7" t="n">
        <v>13</v>
      </c>
      <c r="B17" s="5" t="n">
        <v>119818498.5540458</v>
      </c>
      <c r="C17" s="5" t="n">
        <v>264818498.5540458</v>
      </c>
      <c r="D17" s="5" t="n">
        <v>105927399.4216183</v>
      </c>
      <c r="E17" s="5" t="n">
        <v>26481849.85540458</v>
      </c>
      <c r="F17" s="5" t="n">
        <v>17742839.40312107</v>
      </c>
      <c r="G17" s="5" t="n">
        <v>13307129.5523408</v>
      </c>
      <c r="H17" s="5" t="n">
        <v>10645703.64187264</v>
      </c>
      <c r="I17" s="5" t="n">
        <v>40605001.52731476</v>
      </c>
    </row>
    <row r="18">
      <c r="A18" s="7" t="n">
        <v>14</v>
      </c>
      <c r="B18" s="5" t="n">
        <v>131791556.869181</v>
      </c>
      <c r="C18" s="5" t="n">
        <v>247791556.869181</v>
      </c>
      <c r="D18" s="5" t="n">
        <v>99116622.74767241</v>
      </c>
      <c r="E18" s="5" t="n">
        <v>24779155.6869181</v>
      </c>
      <c r="F18" s="5" t="n">
        <v>16602034.31023513</v>
      </c>
      <c r="G18" s="5" t="n">
        <v>12451525.73267635</v>
      </c>
      <c r="H18" s="5" t="n">
        <v>9961220.586141078</v>
      </c>
      <c r="I18" s="5" t="n">
        <v>36544501.37458328</v>
      </c>
    </row>
    <row r="19">
      <c r="A19" s="7" t="n">
        <v>15</v>
      </c>
      <c r="B19" s="5" t="n">
        <v>144562218.6874517</v>
      </c>
      <c r="C19" s="5" t="n">
        <v>237362218.6874517</v>
      </c>
      <c r="D19" s="5" t="n">
        <v>94944887.4749807</v>
      </c>
      <c r="E19" s="5" t="n">
        <v>23736221.86874517</v>
      </c>
      <c r="F19" s="5" t="n">
        <v>15903268.65205927</v>
      </c>
      <c r="G19" s="5" t="n">
        <v>11927451.48904445</v>
      </c>
      <c r="H19" s="5" t="n">
        <v>9541961.191235561</v>
      </c>
      <c r="I19" s="5" t="n">
        <v>32890051.23712495</v>
      </c>
    </row>
    <row r="20">
      <c r="A20" s="7" t="n">
        <v>16</v>
      </c>
      <c r="B20" s="5" t="n">
        <v>158150882.6131827</v>
      </c>
      <c r="C20" s="5" t="n">
        <v>232390882.6131827</v>
      </c>
      <c r="D20" s="5" t="n">
        <v>92956353.04527307</v>
      </c>
      <c r="E20" s="5" t="n">
        <v>23239088.26131827</v>
      </c>
      <c r="F20" s="5" t="n">
        <v>15570189.13508324</v>
      </c>
      <c r="G20" s="5" t="n">
        <v>11677641.85131243</v>
      </c>
      <c r="H20" s="5" t="n">
        <v>9342113.481049944</v>
      </c>
      <c r="I20" s="5" t="n">
        <v>29601046.11341246</v>
      </c>
    </row>
    <row r="21">
      <c r="A21" s="7" t="n">
        <v>17</v>
      </c>
      <c r="B21" s="5" t="n">
        <v>172572196.1368494</v>
      </c>
      <c r="C21" s="5" t="n">
        <v>231964196.1368494</v>
      </c>
      <c r="D21" s="5" t="n">
        <v>92785678.45473978</v>
      </c>
      <c r="E21" s="5" t="n">
        <v>23196419.61368494</v>
      </c>
      <c r="F21" s="5" t="n">
        <v>15541601.14116891</v>
      </c>
      <c r="G21" s="5" t="n">
        <v>11656200.85587669</v>
      </c>
      <c r="H21" s="5" t="n">
        <v>9324960.68470135</v>
      </c>
      <c r="I21" s="5" t="n">
        <v>26640941.50207121</v>
      </c>
    </row>
    <row r="22">
      <c r="A22" s="7" t="n">
        <v>18</v>
      </c>
      <c r="B22" s="5" t="n">
        <v>187833986.8938265</v>
      </c>
      <c r="C22" s="5" t="n">
        <v>235347586.8938265</v>
      </c>
      <c r="D22" s="5" t="n">
        <v>94139034.75753063</v>
      </c>
      <c r="E22" s="5" t="n">
        <v>23534758.68938266</v>
      </c>
      <c r="F22" s="5" t="n">
        <v>15768288.32188638</v>
      </c>
      <c r="G22" s="5" t="n">
        <v>11826216.24141479</v>
      </c>
      <c r="H22" s="5" t="n">
        <v>9460972.993131829</v>
      </c>
      <c r="I22" s="5" t="n">
        <v>24203534.53258156</v>
      </c>
    </row>
    <row r="23">
      <c r="A23" s="7" t="n">
        <v>19</v>
      </c>
      <c r="B23" s="5" t="n">
        <v>203936203.0938304</v>
      </c>
      <c r="C23" s="5" t="n">
        <v>241947083.0938304</v>
      </c>
      <c r="D23" s="5" t="n">
        <v>96778833.23753217</v>
      </c>
      <c r="E23" s="5" t="n">
        <v>24194708.30938304</v>
      </c>
      <c r="F23" s="5" t="n">
        <v>16210454.56728664</v>
      </c>
      <c r="G23" s="5" t="n">
        <v>12157840.92546498</v>
      </c>
      <c r="H23" s="5" t="n">
        <v>9726272.740371983</v>
      </c>
      <c r="I23" s="5" t="n">
        <v>22225347.32472366</v>
      </c>
    </row>
    <row r="24">
      <c r="A24" s="7" t="n">
        <v>20</v>
      </c>
      <c r="B24" s="5" t="n">
        <v>220869907.2779081</v>
      </c>
      <c r="C24" s="5" t="n">
        <v>251278611.2779081</v>
      </c>
      <c r="D24" s="5" t="n">
        <v>100511444.5111632</v>
      </c>
      <c r="E24" s="5" t="n">
        <v>25127861.12779081</v>
      </c>
      <c r="F24" s="5" t="n">
        <v>16835666.95561985</v>
      </c>
      <c r="G24" s="5" t="n">
        <v>12626750.21671489</v>
      </c>
      <c r="H24" s="5" t="n">
        <v>10101400.17337191</v>
      </c>
      <c r="I24" s="5" t="n">
        <v>20628024.9805845</v>
      </c>
    </row>
    <row r="25">
      <c r="A25" s="7" t="n">
        <v>21</v>
      </c>
      <c r="B25" s="5" t="n">
        <v>238616374.5806759</v>
      </c>
      <c r="C25" s="5" t="n">
        <v>238616374.5806759</v>
      </c>
      <c r="D25" s="5" t="n">
        <v>95446549.83227035</v>
      </c>
      <c r="E25" s="5" t="n">
        <v>23861637.45806759</v>
      </c>
      <c r="F25" s="5" t="n">
        <v>15987297.09690529</v>
      </c>
      <c r="G25" s="5" t="n">
        <v>11990472.82267896</v>
      </c>
      <c r="H25" s="5" t="n">
        <v>9592378.258143172</v>
      </c>
      <c r="I25" s="5" t="n">
        <v>18565222.48252605</v>
      </c>
    </row>
    <row r="26">
      <c r="A26" s="7" t="n">
        <v>22</v>
      </c>
      <c r="B26" s="5" t="n">
        <v>257146351.8146111</v>
      </c>
      <c r="C26" s="5" t="n">
        <v>257146351.8146111</v>
      </c>
      <c r="D26" s="5" t="n">
        <v>102858540.7258445</v>
      </c>
      <c r="E26" s="5" t="n">
        <v>25714635.18146111</v>
      </c>
      <c r="F26" s="5" t="n">
        <v>17228805.57157895</v>
      </c>
      <c r="G26" s="5" t="n">
        <v>12921604.17868421</v>
      </c>
      <c r="H26" s="5" t="n">
        <v>10337283.34294737</v>
      </c>
      <c r="I26" s="5" t="n">
        <v>17950208.70894711</v>
      </c>
    </row>
    <row r="27">
      <c r="A27" s="7" t="n">
        <v>23</v>
      </c>
      <c r="B27" s="5" t="n">
        <v>276419535.9663237</v>
      </c>
      <c r="C27" s="5" t="n">
        <v>276419535.9663237</v>
      </c>
      <c r="D27" s="5" t="n">
        <v>110567814.3865295</v>
      </c>
      <c r="E27" s="5" t="n">
        <v>27641953.59663237</v>
      </c>
      <c r="F27" s="5" t="n">
        <v>18520108.90974369</v>
      </c>
      <c r="G27" s="5" t="n">
        <v>13890081.68230777</v>
      </c>
      <c r="H27" s="5" t="n">
        <v>11112065.34584621</v>
      </c>
      <c r="I27" s="5" t="n">
        <v>17446491.17621714</v>
      </c>
    </row>
    <row r="28">
      <c r="A28" s="7" t="n">
        <v>24</v>
      </c>
      <c r="B28" s="5" t="n">
        <v>296384329.1452741</v>
      </c>
      <c r="C28" s="5" t="n">
        <v>296384329.1452741</v>
      </c>
      <c r="D28" s="5" t="n">
        <v>118553731.6581097</v>
      </c>
      <c r="E28" s="5" t="n">
        <v>29638432.91452741</v>
      </c>
      <c r="F28" s="5" t="n">
        <v>19857750.05273337</v>
      </c>
      <c r="G28" s="5" t="n">
        <v>14893312.53955003</v>
      </c>
      <c r="H28" s="5" t="n">
        <v>11914650.03164002</v>
      </c>
      <c r="I28" s="5" t="n">
        <v>17039483.20158511</v>
      </c>
    </row>
    <row r="29">
      <c r="A29" s="7" t="n">
        <v>25</v>
      </c>
      <c r="B29" s="5" t="n">
        <v>316977920.8643199</v>
      </c>
      <c r="C29" s="5" t="n">
        <v>316977920.8643199</v>
      </c>
      <c r="D29" s="5" t="n">
        <v>126791168.345728</v>
      </c>
      <c r="E29" s="5" t="n">
        <v>31697792.086432</v>
      </c>
      <c r="F29" s="5" t="n">
        <v>21237520.69790944</v>
      </c>
      <c r="G29" s="5" t="n">
        <v>15928140.52343208</v>
      </c>
      <c r="H29" s="5" t="n">
        <v>12742512.41874566</v>
      </c>
      <c r="I29" s="5" t="n">
        <v>16715305.52660266</v>
      </c>
    </row>
    <row r="30">
      <c r="A30" s="7" t="n">
        <v>26</v>
      </c>
      <c r="B30" s="5" t="n">
        <v>338126737.2974833</v>
      </c>
      <c r="C30" s="5" t="n">
        <v>338126737.2974833</v>
      </c>
      <c r="D30" s="5" t="n">
        <v>135250694.9189933</v>
      </c>
      <c r="E30" s="5" t="n">
        <v>33812673.72974833</v>
      </c>
      <c r="F30" s="5" t="n">
        <v>22654491.39893138</v>
      </c>
      <c r="G30" s="5" t="n">
        <v>16990868.54919854</v>
      </c>
      <c r="H30" s="5" t="n">
        <v>13592694.83935883</v>
      </c>
      <c r="I30" s="5" t="n">
        <v>16460745.67496435</v>
      </c>
    </row>
    <row r="31">
      <c r="A31" s="7" t="n">
        <v>27</v>
      </c>
      <c r="B31" s="5" t="n">
        <v>359747280.8767947</v>
      </c>
      <c r="C31" s="5" t="n">
        <v>359747280.8767947</v>
      </c>
      <c r="D31" s="5" t="n">
        <v>143898912.3507179</v>
      </c>
      <c r="E31" s="5" t="n">
        <v>35974728.08767947</v>
      </c>
      <c r="F31" s="5" t="n">
        <v>24103067.81874524</v>
      </c>
      <c r="G31" s="5" t="n">
        <v>18077300.86405893</v>
      </c>
      <c r="H31" s="5" t="n">
        <v>14461840.69124715</v>
      </c>
      <c r="I31" s="5" t="n">
        <v>16263247.52728177</v>
      </c>
    </row>
    <row r="32">
      <c r="A32" s="7" t="n">
        <v>28</v>
      </c>
      <c r="B32" s="5" t="n">
        <v>381747362.8863899</v>
      </c>
      <c r="C32" s="5" t="n">
        <v>381747362.8863899</v>
      </c>
      <c r="D32" s="5" t="n">
        <v>152698945.154556</v>
      </c>
      <c r="E32" s="5" t="n">
        <v>38174736.28863899</v>
      </c>
      <c r="F32" s="5" t="n">
        <v>25577073.31338813</v>
      </c>
      <c r="G32" s="5" t="n">
        <v>19182804.9850411</v>
      </c>
      <c r="H32" s="5" t="n">
        <v>15346243.98803288</v>
      </c>
      <c r="I32" s="5" t="n">
        <v>16110928.26919648</v>
      </c>
    </row>
    <row r="33">
      <c r="A33" s="7" t="n">
        <v>29</v>
      </c>
      <c r="B33" s="5" t="n">
        <v>404027707.874995</v>
      </c>
      <c r="C33" s="5" t="n">
        <v>404027707.874995</v>
      </c>
      <c r="D33" s="5" t="n">
        <v>161611083.149998</v>
      </c>
      <c r="E33" s="5" t="n">
        <v>40402770.7874995</v>
      </c>
      <c r="F33" s="5" t="n">
        <v>27069856.42762467</v>
      </c>
      <c r="G33" s="5" t="n">
        <v>20302392.3207185</v>
      </c>
      <c r="H33" s="5" t="n">
        <v>16241913.8565748</v>
      </c>
      <c r="I33" s="5" t="n">
        <v>15992618.55651337</v>
      </c>
    </row>
    <row r="34">
      <c r="A34" s="7" t="n">
        <v>30</v>
      </c>
      <c r="B34" s="5" t="n">
        <v>426483883.6327923</v>
      </c>
      <c r="C34" s="5" t="n">
        <v>426483883.6327923</v>
      </c>
      <c r="D34" s="5" t="n">
        <v>170593553.4531169</v>
      </c>
      <c r="E34" s="5" t="n">
        <v>42648388.36327923</v>
      </c>
      <c r="F34" s="5" t="n">
        <v>28574420.20339709</v>
      </c>
      <c r="G34" s="5" t="n">
        <v>21430815.15254781</v>
      </c>
      <c r="H34" s="5" t="n">
        <v>17144652.12203825</v>
      </c>
      <c r="I34" s="5" t="n">
        <v>15897920.47663445</v>
      </c>
    </row>
    <row r="35">
      <c r="A35" s="7" t="n">
        <v>31</v>
      </c>
      <c r="B35" s="5" t="n">
        <v>449008486.5050856</v>
      </c>
      <c r="C35" s="5" t="n">
        <v>449008486.5050856</v>
      </c>
      <c r="D35" s="5" t="n">
        <v>179603394.6020343</v>
      </c>
      <c r="E35" s="5" t="n">
        <v>44900848.65050857</v>
      </c>
      <c r="F35" s="5" t="n">
        <v>30083568.59584074</v>
      </c>
      <c r="G35" s="5" t="n">
        <v>22562676.44688056</v>
      </c>
      <c r="H35" s="5" t="n">
        <v>18050141.15750445</v>
      </c>
      <c r="I35" s="5" t="n">
        <v>15817276.82141466</v>
      </c>
    </row>
    <row r="36">
      <c r="A36" s="7" t="n">
        <v>32</v>
      </c>
      <c r="B36" s="5" t="n">
        <v>471493491.4554212</v>
      </c>
      <c r="C36" s="5" t="n">
        <v>471493491.4554212</v>
      </c>
      <c r="D36" s="5" t="n">
        <v>188597396.5821685</v>
      </c>
      <c r="E36" s="5" t="n">
        <v>47149349.14554212</v>
      </c>
      <c r="F36" s="5" t="n">
        <v>31590063.92751322</v>
      </c>
      <c r="G36" s="5" t="n">
        <v>23692547.94563492</v>
      </c>
      <c r="H36" s="5" t="n">
        <v>18954038.35650793</v>
      </c>
      <c r="I36" s="5" t="n">
        <v>15742044.47094568</v>
      </c>
    </row>
    <row r="37">
      <c r="A37" s="7" t="n">
        <v>33</v>
      </c>
      <c r="B37" s="5" t="n">
        <v>493832661.8846241</v>
      </c>
      <c r="C37" s="5" t="n">
        <v>493832661.8846241</v>
      </c>
      <c r="D37" s="5" t="n">
        <v>197533064.7538497</v>
      </c>
      <c r="E37" s="5" t="n">
        <v>49383266.18846241</v>
      </c>
      <c r="F37" s="5" t="n">
        <v>33086788.34626982</v>
      </c>
      <c r="G37" s="5" t="n">
        <v>24815091.25970237</v>
      </c>
      <c r="H37" s="5" t="n">
        <v>19852073.00776189</v>
      </c>
      <c r="I37" s="5" t="n">
        <v>15664564.44260771</v>
      </c>
    </row>
    <row r="38">
      <c r="A38" s="7" t="n">
        <v>34</v>
      </c>
      <c r="B38" s="5" t="n">
        <v>515923907.5664101</v>
      </c>
      <c r="C38" s="5" t="n">
        <v>515923907.5664101</v>
      </c>
      <c r="D38" s="5" t="n">
        <v>206369563.026564</v>
      </c>
      <c r="E38" s="5" t="n">
        <v>51592390.75664101</v>
      </c>
      <c r="F38" s="5" t="n">
        <v>34566901.80694947</v>
      </c>
      <c r="G38" s="5" t="n">
        <v>25925176.35521211</v>
      </c>
      <c r="H38" s="5" t="n">
        <v>20740141.08416969</v>
      </c>
      <c r="I38" s="5" t="n">
        <v>15578221.45902659</v>
      </c>
    </row>
    <row r="39">
      <c r="A39" s="7" t="n">
        <v>35</v>
      </c>
      <c r="B39" s="5" t="n">
        <v>537671481.1432469</v>
      </c>
      <c r="C39" s="5" t="n">
        <v>537671481.1432469</v>
      </c>
      <c r="D39" s="5" t="n">
        <v>215068592.4572988</v>
      </c>
      <c r="E39" s="5" t="n">
        <v>53767148.11432469</v>
      </c>
      <c r="F39" s="5" t="n">
        <v>36023989.23659755</v>
      </c>
      <c r="G39" s="5" t="n">
        <v>27017991.92744816</v>
      </c>
      <c r="H39" s="5" t="n">
        <v>21614393.54195853</v>
      </c>
      <c r="I39" s="5" t="n">
        <v>15477486.742772</v>
      </c>
    </row>
    <row r="40">
      <c r="A40" s="7" t="n">
        <v>36</v>
      </c>
      <c r="B40" s="5" t="n">
        <v>558987914.3840164</v>
      </c>
      <c r="C40" s="5" t="n">
        <v>558987914.3840164</v>
      </c>
      <c r="D40" s="5" t="n">
        <v>223595165.7536066</v>
      </c>
      <c r="E40" s="5" t="n">
        <v>55898791.43840164</v>
      </c>
      <c r="F40" s="5" t="n">
        <v>37452190.2637291</v>
      </c>
      <c r="G40" s="5" t="n">
        <v>28089142.69779683</v>
      </c>
      <c r="H40" s="5" t="n">
        <v>22471314.15823746</v>
      </c>
      <c r="I40" s="5" t="n">
        <v>15357939.09562636</v>
      </c>
    </row>
    <row r="41">
      <c r="A41" s="7" t="n">
        <v>37</v>
      </c>
      <c r="B41" s="5" t="n">
        <v>579795613.7430326</v>
      </c>
      <c r="C41" s="5" t="n">
        <v>579795613.7430326</v>
      </c>
      <c r="D41" s="5" t="n">
        <v>231918245.497213</v>
      </c>
      <c r="E41" s="5" t="n">
        <v>57979561.37430326</v>
      </c>
      <c r="F41" s="5" t="n">
        <v>38846306.12078319</v>
      </c>
      <c r="G41" s="5" t="n">
        <v>29134729.59058739</v>
      </c>
      <c r="H41" s="5" t="n">
        <v>23307783.67246991</v>
      </c>
      <c r="I41" s="5" t="n">
        <v>15216261.04311781</v>
      </c>
    </row>
    <row r="42">
      <c r="A42" s="7" t="n">
        <v>38</v>
      </c>
      <c r="B42" s="5" t="n">
        <v>600028058.6993563</v>
      </c>
      <c r="C42" s="5" t="n">
        <v>600028058.6993563</v>
      </c>
      <c r="D42" s="5" t="n">
        <v>240011223.4797425</v>
      </c>
      <c r="E42" s="5" t="n">
        <v>60002805.86993563</v>
      </c>
      <c r="F42" s="5" t="n">
        <v>40201879.93285687</v>
      </c>
      <c r="G42" s="5" t="n">
        <v>30151409.94964265</v>
      </c>
      <c r="H42" s="5" t="n">
        <v>24121127.95971413</v>
      </c>
      <c r="I42" s="5" t="n">
        <v>15050208.75087971</v>
      </c>
    </row>
    <row r="43">
      <c r="A43" s="7" t="n">
        <v>39</v>
      </c>
      <c r="B43" s="5" t="n">
        <v>619630573.3352087</v>
      </c>
      <c r="C43" s="5" t="n">
        <v>619630573.3352087</v>
      </c>
      <c r="D43" s="5" t="n">
        <v>247852229.3340835</v>
      </c>
      <c r="E43" s="5" t="n">
        <v>61963057.33352087</v>
      </c>
      <c r="F43" s="5" t="n">
        <v>41515248.41345898</v>
      </c>
      <c r="G43" s="5" t="n">
        <v>31136436.31009424</v>
      </c>
      <c r="H43" s="5" t="n">
        <v>24909149.04807539</v>
      </c>
      <c r="I43" s="5" t="n">
        <v>14858556.35639385</v>
      </c>
    </row>
    <row r="44">
      <c r="A44" s="7" t="n">
        <v>40</v>
      </c>
      <c r="B44" s="5" t="n">
        <v>638560668.8751062</v>
      </c>
      <c r="C44" s="5" t="n">
        <v>638560668.8751062</v>
      </c>
      <c r="D44" s="5" t="n">
        <v>255424267.5500425</v>
      </c>
      <c r="E44" s="5" t="n">
        <v>63856066.88751063</v>
      </c>
      <c r="F44" s="5" t="n">
        <v>42783564.81463213</v>
      </c>
      <c r="G44" s="5" t="n">
        <v>32087673.6109741</v>
      </c>
      <c r="H44" s="5" t="n">
        <v>25670138.88877928</v>
      </c>
      <c r="I44" s="5" t="n">
        <v>14641017.12192761</v>
      </c>
    </row>
    <row r="45">
      <c r="A45" s="7" t="n">
        <v>41</v>
      </c>
      <c r="B45" s="5" t="n">
        <v>656787979.8908522</v>
      </c>
      <c r="C45" s="5" t="n">
        <v>656787979.8908522</v>
      </c>
      <c r="D45" s="5" t="n">
        <v>262715191.9563409</v>
      </c>
      <c r="E45" s="5" t="n">
        <v>65678797.98908523</v>
      </c>
      <c r="F45" s="5" t="n">
        <v>44004794.6526871</v>
      </c>
      <c r="G45" s="5" t="n">
        <v>33003595.98951533</v>
      </c>
      <c r="H45" s="5" t="n">
        <v>26402876.79161226</v>
      </c>
      <c r="I45" s="5" t="n">
        <v>14398145.24778983</v>
      </c>
    </row>
    <row r="46">
      <c r="A46" s="7" t="n">
        <v>42</v>
      </c>
      <c r="B46" s="5" t="n">
        <v>674293837.5396372</v>
      </c>
      <c r="C46" s="5" t="n">
        <v>674293837.5396372</v>
      </c>
      <c r="D46" s="5" t="n">
        <v>269717535.0158549</v>
      </c>
      <c r="E46" s="5" t="n">
        <v>67429383.75396372</v>
      </c>
      <c r="F46" s="5" t="n">
        <v>45177687.1151557</v>
      </c>
      <c r="G46" s="5" t="n">
        <v>33883265.33636677</v>
      </c>
      <c r="H46" s="5" t="n">
        <v>27106612.26909342</v>
      </c>
      <c r="I46" s="5" t="n">
        <v>14131223.18547944</v>
      </c>
    </row>
    <row r="47">
      <c r="A47" s="7" t="n">
        <v>43</v>
      </c>
      <c r="B47" s="5" t="n">
        <v>691070538.227626</v>
      </c>
      <c r="C47" s="5" t="n">
        <v>691070538.227626</v>
      </c>
      <c r="D47" s="5" t="n">
        <v>276428215.2910504</v>
      </c>
      <c r="E47" s="5" t="n">
        <v>69107053.82276259</v>
      </c>
      <c r="F47" s="5" t="n">
        <v>46301726.06125094</v>
      </c>
      <c r="G47" s="5" t="n">
        <v>34726294.54593821</v>
      </c>
      <c r="H47" s="5" t="n">
        <v>27781035.63675057</v>
      </c>
      <c r="I47" s="5" t="n">
        <v>13842139.81302674</v>
      </c>
    </row>
    <row r="48">
      <c r="A48" s="7" t="n">
        <v>44</v>
      </c>
      <c r="B48" s="5" t="n">
        <v>707120374.9570053</v>
      </c>
      <c r="C48" s="5" t="n">
        <v>707120374.9570053</v>
      </c>
      <c r="D48" s="5" t="n">
        <v>282848149.9828021</v>
      </c>
      <c r="E48" s="5" t="n">
        <v>70712037.49570052</v>
      </c>
      <c r="F48" s="5" t="n">
        <v>47377065.12211935</v>
      </c>
      <c r="G48" s="5" t="n">
        <v>35532798.84158951</v>
      </c>
      <c r="H48" s="5" t="n">
        <v>28426239.07327161</v>
      </c>
      <c r="I48" s="5" t="n">
        <v>13533264.89259248</v>
      </c>
    </row>
    <row r="49">
      <c r="A49" s="7" t="n">
        <v>45</v>
      </c>
      <c r="B49" s="5" t="n">
        <v>722454501.5286999</v>
      </c>
      <c r="C49" s="5" t="n">
        <v>722454501.5286999</v>
      </c>
      <c r="D49" s="5" t="n">
        <v>288981800.6114799</v>
      </c>
      <c r="E49" s="5" t="n">
        <v>72245450.15286998</v>
      </c>
      <c r="F49" s="5" t="n">
        <v>48404451.60242289</v>
      </c>
      <c r="G49" s="5" t="n">
        <v>36303338.70181717</v>
      </c>
      <c r="H49" s="5" t="n">
        <v>29042670.96145374</v>
      </c>
      <c r="I49" s="5" t="n">
        <v>13207324.88363677</v>
      </c>
    </row>
    <row r="50">
      <c r="A50" s="7" t="n">
        <v>46</v>
      </c>
      <c r="B50" s="5" t="n">
        <v>737091697.5170473</v>
      </c>
      <c r="C50" s="5" t="n">
        <v>737091697.5170473</v>
      </c>
      <c r="D50" s="5" t="n">
        <v>294836679.006819</v>
      </c>
      <c r="E50" s="5" t="n">
        <v>73709169.75170474</v>
      </c>
      <c r="F50" s="5" t="n">
        <v>49385143.73364218</v>
      </c>
      <c r="G50" s="5" t="n">
        <v>37038857.80023164</v>
      </c>
      <c r="H50" s="5" t="n">
        <v>29631086.24018531</v>
      </c>
      <c r="I50" s="5" t="n">
        <v>12867284.52649238</v>
      </c>
    </row>
    <row r="51">
      <c r="A51" s="7" t="n">
        <v>47</v>
      </c>
      <c r="B51" s="5" t="n">
        <v>751057095.6535939</v>
      </c>
      <c r="C51" s="5" t="n">
        <v>751057095.6535939</v>
      </c>
      <c r="D51" s="5" t="n">
        <v>300422838.2614376</v>
      </c>
      <c r="E51" s="5" t="n">
        <v>75105709.5653594</v>
      </c>
      <c r="F51" s="5" t="n">
        <v>50320825.4087908</v>
      </c>
      <c r="G51" s="5" t="n">
        <v>37740619.0565931</v>
      </c>
      <c r="H51" s="5" t="n">
        <v>30192495.24527448</v>
      </c>
      <c r="I51" s="5" t="n">
        <v>12516237.74899176</v>
      </c>
    </row>
    <row r="52">
      <c r="A52" s="7" t="n">
        <v>48</v>
      </c>
      <c r="B52" s="5" t="n">
        <v>764380924.2549562</v>
      </c>
      <c r="C52" s="5" t="n">
        <v>764380924.2549562</v>
      </c>
      <c r="D52" s="5" t="n">
        <v>305752369.7019825</v>
      </c>
      <c r="E52" s="5" t="n">
        <v>76438092.42549562</v>
      </c>
      <c r="F52" s="5" t="n">
        <v>51213521.92508207</v>
      </c>
      <c r="G52" s="5" t="n">
        <v>38410141.44381155</v>
      </c>
      <c r="H52" s="5" t="n">
        <v>30728113.15504924</v>
      </c>
      <c r="I52" s="5" t="n">
        <v>12157310.49038386</v>
      </c>
    </row>
    <row r="53">
      <c r="A53" s="7" t="n">
        <v>49</v>
      </c>
      <c r="B53" s="5" t="n">
        <v>777097306.8746662</v>
      </c>
      <c r="C53" s="5" t="n">
        <v>777097306.8746662</v>
      </c>
      <c r="D53" s="5" t="n">
        <v>310838922.7498665</v>
      </c>
      <c r="E53" s="5" t="n">
        <v>77709730.68746662</v>
      </c>
      <c r="F53" s="5" t="n">
        <v>52065519.56060264</v>
      </c>
      <c r="G53" s="5" t="n">
        <v>39049139.67045198</v>
      </c>
      <c r="H53" s="5" t="n">
        <v>31239311.73636159</v>
      </c>
      <c r="I53" s="5" t="n">
        <v>11793577.07686605</v>
      </c>
    </row>
    <row r="54">
      <c r="A54" s="7" t="n">
        <v>50</v>
      </c>
      <c r="B54" s="5" t="n">
        <v>789243150.558374</v>
      </c>
      <c r="C54" s="5" t="n">
        <v>789243150.558374</v>
      </c>
      <c r="D54" s="5" t="n">
        <v>315697260.2233496</v>
      </c>
      <c r="E54" s="5" t="n">
        <v>78924315.05583741</v>
      </c>
      <c r="F54" s="5" t="n">
        <v>52879291.08741107</v>
      </c>
      <c r="G54" s="5" t="n">
        <v>39659468.3155583</v>
      </c>
      <c r="H54" s="5" t="n">
        <v>31727574.65244664</v>
      </c>
      <c r="I54" s="5" t="n">
        <v>11427990.89598787</v>
      </c>
    </row>
    <row r="55">
      <c r="A55" s="7" t="n">
        <v>51</v>
      </c>
      <c r="B55" s="5" t="n">
        <v>800857143.8028953</v>
      </c>
      <c r="C55" s="5" t="n">
        <v>800857143.8028953</v>
      </c>
      <c r="D55" s="5" t="n">
        <v>320342857.5211582</v>
      </c>
      <c r="E55" s="5" t="n">
        <v>80085714.38028954</v>
      </c>
      <c r="F55" s="5" t="n">
        <v>53657428.634794</v>
      </c>
      <c r="G55" s="5" t="n">
        <v>40243071.4760955</v>
      </c>
      <c r="H55" s="5" t="n">
        <v>32194457.1808764</v>
      </c>
      <c r="I55" s="5" t="n">
        <v>11063329.35377201</v>
      </c>
    </row>
    <row r="56">
      <c r="A56" s="7" t="n">
        <v>52</v>
      </c>
      <c r="B56" s="5" t="n">
        <v>811978876.1633743</v>
      </c>
      <c r="C56" s="5" t="n">
        <v>811978876.1633743</v>
      </c>
      <c r="D56" s="5" t="n">
        <v>324791550.4653497</v>
      </c>
      <c r="E56" s="5" t="n">
        <v>81197887.61633743</v>
      </c>
      <c r="F56" s="5" t="n">
        <v>54402584.70294608</v>
      </c>
      <c r="G56" s="5" t="n">
        <v>40801938.52720957</v>
      </c>
      <c r="H56" s="5" t="n">
        <v>32641550.82176765</v>
      </c>
      <c r="I56" s="5" t="n">
        <v>10702152.48654689</v>
      </c>
    </row>
    <row r="57">
      <c r="A57" s="7" t="n">
        <v>53</v>
      </c>
      <c r="B57" s="5" t="n">
        <v>822648083.7674267</v>
      </c>
      <c r="C57" s="5" t="n">
        <v>822648083.7674267</v>
      </c>
      <c r="D57" s="5" t="n">
        <v>329059233.5069707</v>
      </c>
      <c r="E57" s="5" t="n">
        <v>82264808.37674268</v>
      </c>
      <c r="F57" s="5" t="n">
        <v>55117421.61241759</v>
      </c>
      <c r="G57" s="5" t="n">
        <v>41338066.2093132</v>
      </c>
      <c r="H57" s="5" t="n">
        <v>33070452.96745056</v>
      </c>
      <c r="I57" s="5" t="n">
        <v>10346774.14736371</v>
      </c>
    </row>
    <row r="58">
      <c r="A58" s="7" t="n">
        <v>54</v>
      </c>
      <c r="B58" s="5" t="n">
        <v>832904018.9143341</v>
      </c>
      <c r="C58" s="5" t="n">
        <v>832904018.9143341</v>
      </c>
      <c r="D58" s="5" t="n">
        <v>333161607.5657337</v>
      </c>
      <c r="E58" s="5" t="n">
        <v>83290401.89143342</v>
      </c>
      <c r="F58" s="5" t="n">
        <v>55804569.26726039</v>
      </c>
      <c r="G58" s="5" t="n">
        <v>41853426.95044529</v>
      </c>
      <c r="H58" s="5" t="n">
        <v>33482741.56035624</v>
      </c>
      <c r="I58" s="5" t="n">
        <v>9999244.387470145</v>
      </c>
    </row>
    <row r="59">
      <c r="A59" s="7" t="n">
        <v>55</v>
      </c>
      <c r="B59" s="5" t="n">
        <v>842784937.4313347</v>
      </c>
      <c r="C59" s="5" t="n">
        <v>842784937.4313347</v>
      </c>
      <c r="D59" s="5" t="n">
        <v>337113974.9725339</v>
      </c>
      <c r="E59" s="5" t="n">
        <v>84278493.74313349</v>
      </c>
      <c r="F59" s="5" t="n">
        <v>56466590.80789944</v>
      </c>
      <c r="G59" s="5" t="n">
        <v>42349943.10592458</v>
      </c>
      <c r="H59" s="5" t="n">
        <v>33879954.48473966</v>
      </c>
      <c r="I59" s="5" t="n">
        <v>9661341.489362173</v>
      </c>
    </row>
    <row r="60">
      <c r="A60" s="7" t="n">
        <v>56</v>
      </c>
      <c r="B60" s="5" t="n">
        <v>852327694.386531</v>
      </c>
      <c r="C60" s="5" t="n">
        <v>852327694.386531</v>
      </c>
      <c r="D60" s="5" t="n">
        <v>340931077.7546124</v>
      </c>
      <c r="E60" s="5" t="n">
        <v>85232769.43865311</v>
      </c>
      <c r="F60" s="5" t="n">
        <v>57105955.52389759</v>
      </c>
      <c r="G60" s="5" t="n">
        <v>42829466.64292319</v>
      </c>
      <c r="H60" s="5" t="n">
        <v>34263573.31433856</v>
      </c>
      <c r="I60" s="5" t="n">
        <v>9334572.056424106</v>
      </c>
    </row>
    <row r="61">
      <c r="A61" s="7" t="n">
        <v>57</v>
      </c>
      <c r="B61" s="5" t="n">
        <v>861567436.913231</v>
      </c>
      <c r="C61" s="5" t="n">
        <v>861567436.913231</v>
      </c>
      <c r="D61" s="5" t="n">
        <v>344626974.7652924</v>
      </c>
      <c r="E61" s="5" t="n">
        <v>86156743.6913231</v>
      </c>
      <c r="F61" s="5" t="n">
        <v>57725018.27318648</v>
      </c>
      <c r="G61" s="5" t="n">
        <v>43293763.70488986</v>
      </c>
      <c r="H61" s="5" t="n">
        <v>34635010.96391189</v>
      </c>
      <c r="I61" s="5" t="n">
        <v>9020177.60007059</v>
      </c>
    </row>
    <row r="62">
      <c r="A62" s="7" t="n">
        <v>58</v>
      </c>
      <c r="B62" s="5" t="n">
        <v>870537382.0514177</v>
      </c>
      <c r="C62" s="5" t="n">
        <v>870537382.0514177</v>
      </c>
      <c r="D62" s="5" t="n">
        <v>348214952.8205671</v>
      </c>
      <c r="E62" s="5" t="n">
        <v>87053738.20514178</v>
      </c>
      <c r="F62" s="5" t="n">
        <v>58326004.597445</v>
      </c>
      <c r="G62" s="5" t="n">
        <v>43744503.44808374</v>
      </c>
      <c r="H62" s="5" t="n">
        <v>34995602.758467</v>
      </c>
      <c r="I62" s="5" t="n">
        <v>8719146.164322045</v>
      </c>
    </row>
    <row r="63">
      <c r="A63" s="7" t="n">
        <v>59</v>
      </c>
      <c r="B63" s="5" t="n">
        <v>879268667.4274466</v>
      </c>
      <c r="C63" s="5" t="n">
        <v>879268667.4274466</v>
      </c>
      <c r="D63" s="5" t="n">
        <v>351707466.9709787</v>
      </c>
      <c r="E63" s="5" t="n">
        <v>87926866.74274467</v>
      </c>
      <c r="F63" s="5" t="n">
        <v>58911000.71763893</v>
      </c>
      <c r="G63" s="5" t="n">
        <v>44183250.5382292</v>
      </c>
      <c r="H63" s="5" t="n">
        <v>35346600.43058336</v>
      </c>
      <c r="I63" s="5" t="n">
        <v>8432227.668083776</v>
      </c>
    </row>
    <row r="64">
      <c r="A64" s="7" t="n">
        <v>60</v>
      </c>
      <c r="B64" s="5" t="n">
        <v>887790263.0612609</v>
      </c>
      <c r="C64" s="5" t="n">
        <v>887790263.0612609</v>
      </c>
      <c r="D64" s="5" t="n">
        <v>355116105.2245044</v>
      </c>
      <c r="E64" s="5" t="n">
        <v>88779026.3061261</v>
      </c>
      <c r="F64" s="5" t="n">
        <v>59481947.62510449</v>
      </c>
      <c r="G64" s="5" t="n">
        <v>44611460.71882837</v>
      </c>
      <c r="H64" s="5" t="n">
        <v>35689168.5750627</v>
      </c>
      <c r="I64" s="5" t="n">
        <v>8159951.80874096</v>
      </c>
    </row>
    <row r="65">
      <c r="A65" s="7" t="n">
        <v>61</v>
      </c>
      <c r="B65" s="5" t="n">
        <v>896128933.428965</v>
      </c>
      <c r="C65" s="5" t="n">
        <v>896128933.428965</v>
      </c>
      <c r="D65" s="5" t="n">
        <v>358451573.371586</v>
      </c>
      <c r="E65" s="5" t="n">
        <v>89612893.34289651</v>
      </c>
      <c r="F65" s="5" t="n">
        <v>60040638.53974066</v>
      </c>
      <c r="G65" s="5" t="n">
        <v>45030478.9048055</v>
      </c>
      <c r="H65" s="5" t="n">
        <v>36024383.1238444</v>
      </c>
      <c r="I65" s="5" t="n">
        <v>7902647.542503029</v>
      </c>
    </row>
    <row r="66">
      <c r="A66" s="7" t="n">
        <v>62</v>
      </c>
      <c r="B66" s="5" t="n">
        <v>904309239.9684365</v>
      </c>
      <c r="C66" s="5" t="n">
        <v>904309239.9684365</v>
      </c>
      <c r="D66" s="5" t="n">
        <v>361723695.9873746</v>
      </c>
      <c r="E66" s="5" t="n">
        <v>90430923.99684365</v>
      </c>
      <c r="F66" s="5" t="n">
        <v>60588719.07788525</v>
      </c>
      <c r="G66" s="5" t="n">
        <v>45441539.30841394</v>
      </c>
      <c r="H66" s="5" t="n">
        <v>36353231.44673115</v>
      </c>
      <c r="I66" s="5" t="n">
        <v>7660463.326397315</v>
      </c>
    </row>
    <row r="67">
      <c r="A67" s="7" t="n">
        <v>63</v>
      </c>
      <c r="B67" s="5" t="n">
        <v>912353575.3807021</v>
      </c>
      <c r="C67" s="5" t="n">
        <v>912353575.3807021</v>
      </c>
      <c r="D67" s="5" t="n">
        <v>364941430.1522809</v>
      </c>
      <c r="E67" s="5" t="n">
        <v>91235357.53807022</v>
      </c>
      <c r="F67" s="5" t="n">
        <v>61127689.55050705</v>
      </c>
      <c r="G67" s="5" t="n">
        <v>45845767.16288029</v>
      </c>
      <c r="H67" s="5" t="n">
        <v>36676613.73030423</v>
      </c>
      <c r="I67" s="5" t="n">
        <v>7433387.466379382</v>
      </c>
    </row>
    <row r="68">
      <c r="A68" s="7" t="n">
        <v>64</v>
      </c>
      <c r="B68" s="5" t="n">
        <v>920282222.2640615</v>
      </c>
      <c r="C68" s="5" t="n">
        <v>920282222.2640615</v>
      </c>
      <c r="D68" s="5" t="n">
        <v>368112888.9056246</v>
      </c>
      <c r="E68" s="5" t="n">
        <v>92028222.22640616</v>
      </c>
      <c r="F68" s="5" t="n">
        <v>61658908.89169213</v>
      </c>
      <c r="G68" s="5" t="n">
        <v>46244181.6687691</v>
      </c>
      <c r="H68" s="5" t="n">
        <v>36995345.33501528</v>
      </c>
      <c r="I68" s="5" t="n">
        <v>7221268.06092653</v>
      </c>
    </row>
    <row r="69">
      <c r="A69" s="7" t="n">
        <v>65</v>
      </c>
      <c r="B69" s="5" t="n">
        <v>928113429.7612362</v>
      </c>
      <c r="C69" s="5" t="n">
        <v>1073113429.761236</v>
      </c>
      <c r="D69" s="5" t="n">
        <v>429245371.9044945</v>
      </c>
      <c r="E69" s="5" t="n">
        <v>107311342.9761236</v>
      </c>
      <c r="F69" s="5" t="n">
        <v>71898599.79400283</v>
      </c>
      <c r="G69" s="5" t="n">
        <v>53923949.84550212</v>
      </c>
      <c r="H69" s="5" t="n">
        <v>43139159.8764017</v>
      </c>
      <c r="I69" s="5" t="n">
        <v>16738832.15714458</v>
      </c>
    </row>
    <row r="70">
      <c r="A70" s="7" t="n">
        <v>66</v>
      </c>
      <c r="B70" s="5" t="n">
        <v>935863502.9630208</v>
      </c>
      <c r="C70" s="5" t="n">
        <v>1051863502.963021</v>
      </c>
      <c r="D70" s="5" t="n">
        <v>420745401.1852083</v>
      </c>
      <c r="E70" s="5" t="n">
        <v>105186350.2963021</v>
      </c>
      <c r="F70" s="5" t="n">
        <v>70474854.6985224</v>
      </c>
      <c r="G70" s="5" t="n">
        <v>52856141.02389181</v>
      </c>
      <c r="H70" s="5" t="n">
        <v>42284912.81911345</v>
      </c>
      <c r="I70" s="5" t="n">
        <v>15064948.94143012</v>
      </c>
    </row>
    <row r="71">
      <c r="A71" s="7" t="n">
        <v>67</v>
      </c>
      <c r="B71" s="5" t="n">
        <v>943546900.7723352</v>
      </c>
      <c r="C71" s="5" t="n">
        <v>1036346900.772335</v>
      </c>
      <c r="D71" s="5" t="n">
        <v>414538760.3089341</v>
      </c>
      <c r="E71" s="5" t="n">
        <v>103634690.0772335</v>
      </c>
      <c r="F71" s="5" t="n">
        <v>69435242.35174647</v>
      </c>
      <c r="G71" s="5" t="n">
        <v>52076431.76380985</v>
      </c>
      <c r="H71" s="5" t="n">
        <v>41661145.41104788</v>
      </c>
      <c r="I71" s="5" t="n">
        <v>13558454.04728711</v>
      </c>
    </row>
    <row r="72">
      <c r="A72" s="7" t="n">
        <v>68</v>
      </c>
      <c r="B72" s="5" t="n">
        <v>951176338.7798222</v>
      </c>
      <c r="C72" s="5" t="n">
        <v>1025416338.779822</v>
      </c>
      <c r="D72" s="5" t="n">
        <v>410166535.5119289</v>
      </c>
      <c r="E72" s="5" t="n">
        <v>102541633.8779822</v>
      </c>
      <c r="F72" s="5" t="n">
        <v>68702894.6982481</v>
      </c>
      <c r="G72" s="5" t="n">
        <v>51527171.02368608</v>
      </c>
      <c r="H72" s="5" t="n">
        <v>41221736.81894886</v>
      </c>
      <c r="I72" s="5" t="n">
        <v>12202608.6425584</v>
      </c>
    </row>
    <row r="73">
      <c r="A73" s="7" t="n">
        <v>69</v>
      </c>
      <c r="B73" s="5" t="n">
        <v>958762894.4345978</v>
      </c>
      <c r="C73" s="5" t="n">
        <v>1018154894.434598</v>
      </c>
      <c r="D73" s="5" t="n">
        <v>407261957.7738392</v>
      </c>
      <c r="E73" s="5" t="n">
        <v>101815489.4434598</v>
      </c>
      <c r="F73" s="5" t="n">
        <v>68216377.92711806</v>
      </c>
      <c r="G73" s="5" t="n">
        <v>51162283.44533855</v>
      </c>
      <c r="H73" s="5" t="n">
        <v>40929826.75627084</v>
      </c>
      <c r="I73" s="5" t="n">
        <v>10982347.77830256</v>
      </c>
    </row>
    <row r="74">
      <c r="A74" s="7" t="n">
        <v>70</v>
      </c>
      <c r="B74" s="5" t="n">
        <v>966316112.4157233</v>
      </c>
      <c r="C74" s="5" t="n">
        <v>1013829712.415723</v>
      </c>
      <c r="D74" s="5" t="n">
        <v>405531884.9662893</v>
      </c>
      <c r="E74" s="5" t="n">
        <v>101382971.2415723</v>
      </c>
      <c r="F74" s="5" t="n">
        <v>67926590.73185347</v>
      </c>
      <c r="G74" s="5" t="n">
        <v>50944943.0488901</v>
      </c>
      <c r="H74" s="5" t="n">
        <v>40755954.43911208</v>
      </c>
      <c r="I74" s="5" t="n">
        <v>9884113.000472302</v>
      </c>
    </row>
    <row r="75">
      <c r="A75" s="7" t="n">
        <v>71</v>
      </c>
      <c r="B75" s="5" t="n">
        <v>973844108.6294817</v>
      </c>
      <c r="C75" s="5" t="n">
        <v>1011854988.629482</v>
      </c>
      <c r="D75" s="5" t="n">
        <v>404741995.4517927</v>
      </c>
      <c r="E75" s="5" t="n">
        <v>101185498.8629482</v>
      </c>
      <c r="F75" s="5" t="n">
        <v>67794284.23817529</v>
      </c>
      <c r="G75" s="5" t="n">
        <v>50845713.17863147</v>
      </c>
      <c r="H75" s="5" t="n">
        <v>40676570.54290518</v>
      </c>
      <c r="I75" s="5" t="n">
        <v>8895701.700425072</v>
      </c>
    </row>
    <row r="76">
      <c r="A76" s="7" t="n">
        <v>72</v>
      </c>
      <c r="B76" s="5" t="n">
        <v>981353671.6846385</v>
      </c>
      <c r="C76" s="5" t="n">
        <v>1011762375.684639</v>
      </c>
      <c r="D76" s="5" t="n">
        <v>404704950.2738554</v>
      </c>
      <c r="E76" s="5" t="n">
        <v>101176237.5684639</v>
      </c>
      <c r="F76" s="5" t="n">
        <v>67788079.1708708</v>
      </c>
      <c r="G76" s="5" t="n">
        <v>50841059.3781531</v>
      </c>
      <c r="H76" s="5" t="n">
        <v>40672847.50252248</v>
      </c>
      <c r="I76" s="5" t="n">
        <v>8006131.530382564</v>
      </c>
    </row>
    <row r="77">
      <c r="A77" s="7" t="n">
        <v>73</v>
      </c>
      <c r="B77" s="5" t="n">
        <v>988850361.0435033</v>
      </c>
      <c r="C77" s="5" t="n">
        <v>988850361.0435033</v>
      </c>
      <c r="D77" s="5" t="n">
        <v>395540144.4174013</v>
      </c>
      <c r="E77" s="5" t="n">
        <v>98885036.10435033</v>
      </c>
      <c r="F77" s="5" t="n">
        <v>66252974.18991473</v>
      </c>
      <c r="G77" s="5" t="n">
        <v>49689730.64243604</v>
      </c>
      <c r="H77" s="5" t="n">
        <v>39751784.51394884</v>
      </c>
      <c r="I77" s="5" t="n">
        <v>7205518.377344308</v>
      </c>
    </row>
    <row r="78">
      <c r="A78" s="7" t="n">
        <v>74</v>
      </c>
      <c r="B78" s="5" t="n">
        <v>996338601.3217201</v>
      </c>
      <c r="C78" s="5" t="n">
        <v>996338601.3217201</v>
      </c>
      <c r="D78" s="5" t="n">
        <v>398535440.5286881</v>
      </c>
      <c r="E78" s="5" t="n">
        <v>99633860.13217202</v>
      </c>
      <c r="F78" s="5" t="n">
        <v>66754686.28855526</v>
      </c>
      <c r="G78" s="5" t="n">
        <v>50066014.71641644</v>
      </c>
      <c r="H78" s="5" t="n">
        <v>40052811.77313315</v>
      </c>
      <c r="I78" s="5" t="n">
        <v>6986678.638250409</v>
      </c>
    </row>
    <row r="79">
      <c r="A79" s="7" t="n">
        <v>75</v>
      </c>
      <c r="B79" s="5" t="n">
        <v>1003821772.424803</v>
      </c>
      <c r="C79" s="5" t="n">
        <v>1003821772.424803</v>
      </c>
      <c r="D79" s="5" t="n">
        <v>401528708.9699214</v>
      </c>
      <c r="E79" s="5" t="n">
        <v>100382177.2424803</v>
      </c>
      <c r="F79" s="5" t="n">
        <v>67256058.75246184</v>
      </c>
      <c r="G79" s="5" t="n">
        <v>50442044.06434637</v>
      </c>
      <c r="H79" s="5" t="n">
        <v>40353635.2514771</v>
      </c>
      <c r="I79" s="5" t="n">
        <v>6789383.238331947</v>
      </c>
    </row>
    <row r="80">
      <c r="A80" s="7" t="n">
        <v>76</v>
      </c>
      <c r="B80" s="5" t="n">
        <v>1011302295.374104</v>
      </c>
      <c r="C80" s="5" t="n">
        <v>1011302295.374104</v>
      </c>
      <c r="D80" s="5" t="n">
        <v>404520918.1496418</v>
      </c>
      <c r="E80" s="5" t="n">
        <v>101130229.5374104</v>
      </c>
      <c r="F80" s="5" t="n">
        <v>67757253.79006499</v>
      </c>
      <c r="G80" s="5" t="n">
        <v>50817940.34254874</v>
      </c>
      <c r="H80" s="5" t="n">
        <v>40654352.274039</v>
      </c>
      <c r="I80" s="5" t="n">
        <v>6611639.952101907</v>
      </c>
    </row>
    <row r="81">
      <c r="A81" s="7" t="n">
        <v>77</v>
      </c>
      <c r="B81" s="5" t="n">
        <v>1018781713.797871</v>
      </c>
      <c r="C81" s="5" t="n">
        <v>1018781713.797871</v>
      </c>
      <c r="D81" s="5" t="n">
        <v>407512685.5191485</v>
      </c>
      <c r="E81" s="5" t="n">
        <v>101878171.3797871</v>
      </c>
      <c r="F81" s="5" t="n">
        <v>68258374.82445738</v>
      </c>
      <c r="G81" s="5" t="n">
        <v>51193781.11834303</v>
      </c>
      <c r="H81" s="5" t="n">
        <v>40955024.89467443</v>
      </c>
      <c r="I81" s="5" t="n">
        <v>6451596.991284103</v>
      </c>
    </row>
    <row r="82">
      <c r="A82" s="7" t="n">
        <v>78</v>
      </c>
      <c r="B82" s="5" t="n">
        <v>1026260771.151932</v>
      </c>
      <c r="C82" s="5" t="n">
        <v>1026260771.151932</v>
      </c>
      <c r="D82" s="5" t="n">
        <v>410504308.4607729</v>
      </c>
      <c r="E82" s="5" t="n">
        <v>102626077.1151932</v>
      </c>
      <c r="F82" s="5" t="n">
        <v>68759471.66717947</v>
      </c>
      <c r="G82" s="5" t="n">
        <v>51569603.7503846</v>
      </c>
      <c r="H82" s="5" t="n">
        <v>41255683.00030768</v>
      </c>
      <c r="I82" s="5" t="n">
        <v>6307534.134877781</v>
      </c>
    </row>
    <row r="83">
      <c r="A83" s="7" t="n">
        <v>79</v>
      </c>
      <c r="B83" s="5" t="n">
        <v>1033739483.795963</v>
      </c>
      <c r="C83" s="5" t="n">
        <v>1033739483.795963</v>
      </c>
      <c r="D83" s="5" t="n">
        <v>413495793.5183852</v>
      </c>
      <c r="E83" s="5" t="n">
        <v>103373948.3795963</v>
      </c>
      <c r="F83" s="5" t="n">
        <v>69260545.41432951</v>
      </c>
      <c r="G83" s="5" t="n">
        <v>51945409.06074713</v>
      </c>
      <c r="H83" s="5" t="n">
        <v>41556327.24859771</v>
      </c>
      <c r="I83" s="5" t="n">
        <v>6177854.468540052</v>
      </c>
    </row>
    <row r="84">
      <c r="A84" s="7" t="n">
        <v>80</v>
      </c>
      <c r="B84" s="5" t="n">
        <v>1041217210.090901</v>
      </c>
      <c r="C84" s="5" t="n">
        <v>1041217210.090901</v>
      </c>
      <c r="D84" s="5" t="n">
        <v>416486884.0363605</v>
      </c>
      <c r="E84" s="5" t="n">
        <v>104121721.0090901</v>
      </c>
      <c r="F84" s="5" t="n">
        <v>69761553.0760904</v>
      </c>
      <c r="G84" s="5" t="n">
        <v>52321164.8070678</v>
      </c>
      <c r="H84" s="5" t="n">
        <v>41856931.84565424</v>
      </c>
      <c r="I84" s="5" t="n">
        <v>6061076.683446929</v>
      </c>
    </row>
    <row r="85">
      <c r="A85" s="7" t="n">
        <v>81</v>
      </c>
      <c r="B85" s="5" t="n">
        <v>1048692715.705658</v>
      </c>
      <c r="C85" s="5" t="n">
        <v>1048692715.705658</v>
      </c>
      <c r="D85" s="5" t="n">
        <v>419477086.2822632</v>
      </c>
      <c r="E85" s="5" t="n">
        <v>104869271.5705658</v>
      </c>
      <c r="F85" s="5" t="n">
        <v>70262411.95227909</v>
      </c>
      <c r="G85" s="5" t="n">
        <v>52696808.96420932</v>
      </c>
      <c r="H85" s="5" t="n">
        <v>42157447.17136746</v>
      </c>
      <c r="I85" s="5" t="n">
        <v>5955827.891290932</v>
      </c>
    </row>
    <row r="86">
      <c r="A86" s="7" t="n">
        <v>82</v>
      </c>
      <c r="B86" s="5" t="n">
        <v>1056164235.33083</v>
      </c>
      <c r="C86" s="5" t="n">
        <v>1056164235.33083</v>
      </c>
      <c r="D86" s="5" t="n">
        <v>422465694.1323321</v>
      </c>
      <c r="E86" s="5" t="n">
        <v>105616423.533083</v>
      </c>
      <c r="F86" s="5" t="n">
        <v>70763003.76716563</v>
      </c>
      <c r="G86" s="5" t="n">
        <v>53072252.82537422</v>
      </c>
      <c r="H86" s="5" t="n">
        <v>42457802.26029938</v>
      </c>
      <c r="I86" s="5" t="n">
        <v>5860836.917048379</v>
      </c>
    </row>
    <row r="87">
      <c r="A87" s="7" t="n">
        <v>83</v>
      </c>
      <c r="B87" s="5" t="n">
        <v>1063629530.996938</v>
      </c>
      <c r="C87" s="5" t="n">
        <v>1063629530.996938</v>
      </c>
      <c r="D87" s="5" t="n">
        <v>425451812.3987751</v>
      </c>
      <c r="E87" s="5" t="n">
        <v>106362953.0996938</v>
      </c>
      <c r="F87" s="5" t="n">
        <v>71263178.57679483</v>
      </c>
      <c r="G87" s="5" t="n">
        <v>53447383.93259612</v>
      </c>
      <c r="H87" s="5" t="n">
        <v>42757907.1460769</v>
      </c>
      <c r="I87" s="5" t="n">
        <v>5774928.034972743</v>
      </c>
    </row>
    <row r="88">
      <c r="A88" s="7" t="n">
        <v>84</v>
      </c>
      <c r="B88" s="5" t="n">
        <v>1071085947.187528</v>
      </c>
      <c r="C88" s="5" t="n">
        <v>1071085947.187528</v>
      </c>
      <c r="D88" s="5" t="n">
        <v>428434378.875011</v>
      </c>
      <c r="E88" s="5" t="n">
        <v>107108594.7187528</v>
      </c>
      <c r="F88" s="5" t="n">
        <v>71762758.46156435</v>
      </c>
      <c r="G88" s="5" t="n">
        <v>53822068.84617326</v>
      </c>
      <c r="H88" s="5" t="n">
        <v>43057655.07693861</v>
      </c>
      <c r="I88" s="5" t="n">
        <v>5697015.116244983</v>
      </c>
    </row>
    <row r="89">
      <c r="A89" s="7" t="n">
        <v>85</v>
      </c>
      <c r="B89" s="5" t="n">
        <v>1078530462.925491</v>
      </c>
      <c r="C89" s="5" t="n">
        <v>1078530462.925491</v>
      </c>
      <c r="D89" s="5" t="n">
        <v>431412185.1701963</v>
      </c>
      <c r="E89" s="5" t="n">
        <v>107853046.2925491</v>
      </c>
      <c r="F89" s="5" t="n">
        <v>72261541.01600789</v>
      </c>
      <c r="G89" s="5" t="n">
        <v>54196155.76200591</v>
      </c>
      <c r="H89" s="5" t="n">
        <v>43356924.60960473</v>
      </c>
      <c r="I89" s="5" t="n">
        <v>5626096.159064023</v>
      </c>
    </row>
    <row r="90">
      <c r="A90" s="7" t="n">
        <v>86</v>
      </c>
      <c r="B90" s="5" t="n">
        <v>1085959740.995901</v>
      </c>
      <c r="C90" s="5" t="n">
        <v>1085959740.995901</v>
      </c>
      <c r="D90" s="5" t="n">
        <v>434383896.3983605</v>
      </c>
      <c r="E90" s="5" t="n">
        <v>108595974.0995901</v>
      </c>
      <c r="F90" s="5" t="n">
        <v>72759302.64672539</v>
      </c>
      <c r="G90" s="5" t="n">
        <v>54569476.98504404</v>
      </c>
      <c r="H90" s="5" t="n">
        <v>43655581.58803523</v>
      </c>
      <c r="I90" s="5" t="n">
        <v>5561248.173875121</v>
      </c>
    </row>
    <row r="91">
      <c r="A91" s="7" t="n">
        <v>87</v>
      </c>
      <c r="B91" s="5" t="n">
        <v>1093370174.452024</v>
      </c>
      <c r="C91" s="5" t="n">
        <v>1093370174.452024</v>
      </c>
      <c r="D91" s="5" t="n">
        <v>437348069.7808095</v>
      </c>
      <c r="E91" s="5" t="n">
        <v>109337017.4452024</v>
      </c>
      <c r="F91" s="5" t="n">
        <v>73255801.6882856</v>
      </c>
      <c r="G91" s="5" t="n">
        <v>54941851.26621421</v>
      </c>
      <c r="H91" s="5" t="n">
        <v>43953481.01297137</v>
      </c>
      <c r="I91" s="5" t="n">
        <v>5501622.398047827</v>
      </c>
    </row>
    <row r="92">
      <c r="A92" s="7" t="n">
        <v>88</v>
      </c>
      <c r="B92" s="5" t="n">
        <v>1100757930.533932</v>
      </c>
      <c r="C92" s="5" t="n">
        <v>1100757930.533932</v>
      </c>
      <c r="D92" s="5" t="n">
        <v>440303172.2135728</v>
      </c>
      <c r="E92" s="5" t="n">
        <v>110075793.0533932</v>
      </c>
      <c r="F92" s="5" t="n">
        <v>73750781.34577344</v>
      </c>
      <c r="G92" s="5" t="n">
        <v>55313086.00933008</v>
      </c>
      <c r="H92" s="5" t="n">
        <v>44250468.80746406</v>
      </c>
      <c r="I92" s="5" t="n">
        <v>5446439.815730884</v>
      </c>
    </row>
    <row r="93">
      <c r="A93" s="7" t="n">
        <v>89</v>
      </c>
      <c r="B93" s="5" t="n">
        <v>1108118992.112296</v>
      </c>
      <c r="C93" s="5" t="n">
        <v>1108118992.112296</v>
      </c>
      <c r="D93" s="5" t="n">
        <v>443247596.8449185</v>
      </c>
      <c r="E93" s="5" t="n">
        <v>110811899.2112296</v>
      </c>
      <c r="F93" s="5" t="n">
        <v>74243972.47152385</v>
      </c>
      <c r="G93" s="5" t="n">
        <v>55682979.35364289</v>
      </c>
      <c r="H93" s="5" t="n">
        <v>44546383.48291431</v>
      </c>
      <c r="I93" s="5" t="n">
        <v>5394986.959908203</v>
      </c>
    </row>
    <row r="94">
      <c r="A94" s="7" t="n">
        <v>90</v>
      </c>
      <c r="B94" s="5" t="n">
        <v>1115449196.75395</v>
      </c>
      <c r="C94" s="5" t="n">
        <v>1115449196.75395</v>
      </c>
      <c r="D94" s="5" t="n">
        <v>446179678.7015802</v>
      </c>
      <c r="E94" s="5" t="n">
        <v>111544919.675395</v>
      </c>
      <c r="F94" s="5" t="n">
        <v>74735096.18251468</v>
      </c>
      <c r="G94" s="5" t="n">
        <v>56051322.13688602</v>
      </c>
      <c r="H94" s="5" t="n">
        <v>44841057.70950881</v>
      </c>
      <c r="I94" s="5" t="n">
        <v>5346611.974908214</v>
      </c>
    </row>
    <row r="95">
      <c r="A95" s="7" t="n">
        <v>91</v>
      </c>
      <c r="B95" s="5" t="n">
        <v>1122744273.491301</v>
      </c>
      <c r="C95" s="5" t="n">
        <v>1122744273.491301</v>
      </c>
      <c r="D95" s="5" t="n">
        <v>449097709.3965206</v>
      </c>
      <c r="E95" s="5" t="n">
        <v>112274427.3491301</v>
      </c>
      <c r="F95" s="5" t="n">
        <v>75223866.3239172</v>
      </c>
      <c r="G95" s="5" t="n">
        <v>56417899.74293789</v>
      </c>
      <c r="H95" s="5" t="n">
        <v>45134319.79435032</v>
      </c>
      <c r="I95" s="5" t="n">
        <v>5300720.918819905</v>
      </c>
    </row>
    <row r="96">
      <c r="A96" s="7" t="n">
        <v>92</v>
      </c>
      <c r="B96" s="5" t="n">
        <v>1129999877.364797</v>
      </c>
      <c r="C96" s="5" t="n">
        <v>1129999877.364797</v>
      </c>
      <c r="D96" s="5" t="n">
        <v>451999950.9459189</v>
      </c>
      <c r="E96" s="5" t="n">
        <v>112999987.7364797</v>
      </c>
      <c r="F96" s="5" t="n">
        <v>75709991.78344141</v>
      </c>
      <c r="G96" s="5" t="n">
        <v>56782493.83758105</v>
      </c>
      <c r="H96" s="5" t="n">
        <v>45425995.07006484</v>
      </c>
      <c r="I96" s="5" t="n">
        <v>5256774.286462129</v>
      </c>
    </row>
    <row r="97">
      <c r="A97" s="7" t="n">
        <v>93</v>
      </c>
      <c r="B97" s="5" t="n">
        <v>1137211621.796724</v>
      </c>
      <c r="C97" s="5" t="n">
        <v>1137211621.796724</v>
      </c>
      <c r="D97" s="5" t="n">
        <v>454884648.7186896</v>
      </c>
      <c r="E97" s="5" t="n">
        <v>113721162.1796724</v>
      </c>
      <c r="F97" s="5" t="n">
        <v>76193178.66038051</v>
      </c>
      <c r="G97" s="5" t="n">
        <v>57144883.99528538</v>
      </c>
      <c r="H97" s="5" t="n">
        <v>45715907.19622831</v>
      </c>
      <c r="I97" s="5" t="n">
        <v>5214283.73475502</v>
      </c>
    </row>
    <row r="98">
      <c r="A98" s="7" t="n">
        <v>94</v>
      </c>
      <c r="B98" s="5" t="n">
        <v>1144375108.845624</v>
      </c>
      <c r="C98" s="5" t="n">
        <v>1144375108.845624</v>
      </c>
      <c r="D98" s="5" t="n">
        <v>457750043.5382498</v>
      </c>
      <c r="E98" s="5" t="n">
        <v>114437510.8845624</v>
      </c>
      <c r="F98" s="5" t="n">
        <v>76673132.29265684</v>
      </c>
      <c r="G98" s="5" t="n">
        <v>57504849.21949263</v>
      </c>
      <c r="H98" s="5" t="n">
        <v>46003879.37559411</v>
      </c>
      <c r="I98" s="5" t="n">
        <v>5172808.993555844</v>
      </c>
    </row>
    <row r="99">
      <c r="A99" s="7" t="n">
        <v>95</v>
      </c>
      <c r="B99" s="5" t="n">
        <v>1151485957.383666</v>
      </c>
      <c r="C99" s="5" t="n">
        <v>1151485957.383666</v>
      </c>
      <c r="D99" s="5" t="n">
        <v>460594382.9534664</v>
      </c>
      <c r="E99" s="5" t="n">
        <v>115148595.7383666</v>
      </c>
      <c r="F99" s="5" t="n">
        <v>77149559.14470562</v>
      </c>
      <c r="G99" s="5" t="n">
        <v>57862169.35852922</v>
      </c>
      <c r="H99" s="5" t="n">
        <v>46289735.48682338</v>
      </c>
      <c r="I99" s="5" t="n">
        <v>5131954.946249045</v>
      </c>
    </row>
    <row r="100">
      <c r="A100" s="7" t="n">
        <v>96</v>
      </c>
      <c r="B100" s="5" t="n">
        <v>1158539829.234226</v>
      </c>
      <c r="C100" s="5" t="n">
        <v>1158539829.234226</v>
      </c>
      <c r="D100" s="5" t="n">
        <v>463415931.6936905</v>
      </c>
      <c r="E100" s="5" t="n">
        <v>115853982.9234226</v>
      </c>
      <c r="F100" s="5" t="n">
        <v>77622168.55869317</v>
      </c>
      <c r="G100" s="5" t="n">
        <v>58216626.41901988</v>
      </c>
      <c r="H100" s="5" t="n">
        <v>46573301.13521591</v>
      </c>
      <c r="I100" s="5" t="n">
        <v>5091368.865611687</v>
      </c>
    </row>
    <row r="101">
      <c r="A101" s="7" t="n">
        <v>97</v>
      </c>
      <c r="B101" s="5" t="n">
        <v>1165532453.303773</v>
      </c>
      <c r="C101" s="5" t="n">
        <v>1165532453.303773</v>
      </c>
      <c r="D101" s="5" t="n">
        <v>466212981.3215091</v>
      </c>
      <c r="E101" s="5" t="n">
        <v>116553245.3303773</v>
      </c>
      <c r="F101" s="5" t="n">
        <v>78090674.37135278</v>
      </c>
      <c r="G101" s="5" t="n">
        <v>58568005.77851458</v>
      </c>
      <c r="H101" s="5" t="n">
        <v>46854404.62281167</v>
      </c>
      <c r="I101" s="5" t="n">
        <v>5050737.791710125</v>
      </c>
    </row>
    <row r="102">
      <c r="A102" s="7" t="n">
        <v>98</v>
      </c>
      <c r="B102" s="5" t="n">
        <v>1172459647.740572</v>
      </c>
      <c r="C102" s="5" t="n">
        <v>1172459647.740572</v>
      </c>
      <c r="D102" s="5" t="n">
        <v>468983859.096229</v>
      </c>
      <c r="E102" s="5" t="n">
        <v>117245964.7740573</v>
      </c>
      <c r="F102" s="5" t="n">
        <v>78554796.39861837</v>
      </c>
      <c r="G102" s="5" t="n">
        <v>58916097.29896378</v>
      </c>
      <c r="H102" s="5" t="n">
        <v>47132877.83917102</v>
      </c>
      <c r="I102" s="5" t="n">
        <v>5009786.039804706</v>
      </c>
    </row>
    <row r="103">
      <c r="A103" s="7" t="n">
        <v>99</v>
      </c>
      <c r="B103" s="5" t="n">
        <v>1179317340.152762</v>
      </c>
      <c r="C103" s="5" t="n">
        <v>1179317340.152762</v>
      </c>
      <c r="D103" s="5" t="n">
        <v>471726936.0611049</v>
      </c>
      <c r="E103" s="5" t="n">
        <v>117931734.0152762</v>
      </c>
      <c r="F103" s="5" t="n">
        <v>79014261.79023507</v>
      </c>
      <c r="G103" s="5" t="n">
        <v>59260696.3426763</v>
      </c>
      <c r="H103" s="5" t="n">
        <v>47408557.07414105</v>
      </c>
      <c r="I103" s="5" t="n">
        <v>4968272.827440938</v>
      </c>
    </row>
    <row r="104">
      <c r="A104" s="7" t="n">
        <v>100</v>
      </c>
      <c r="B104" s="5" t="n">
        <v>1186101585.919617</v>
      </c>
      <c r="C104" s="5" t="n">
        <v>1186101585.919617</v>
      </c>
      <c r="D104" s="5" t="n">
        <v>474440634.3678468</v>
      </c>
      <c r="E104" s="5" t="n">
        <v>118610158.5919617</v>
      </c>
      <c r="F104" s="5" t="n">
        <v>79468806.25661434</v>
      </c>
      <c r="G104" s="5" t="n">
        <v>59601604.69246076</v>
      </c>
      <c r="H104" s="5" t="n">
        <v>47681283.75396861</v>
      </c>
      <c r="I104" s="5" t="n">
        <v>4925990.011076114</v>
      </c>
    </row>
    <row r="105">
      <c r="A105" s="7" t="n">
        <v>101</v>
      </c>
      <c r="B105" s="5" t="n">
        <v>1192808584.632278</v>
      </c>
      <c r="C105" s="5" t="n">
        <v>1192808584.632278</v>
      </c>
      <c r="D105" s="5" t="n">
        <v>477123433.8529112</v>
      </c>
      <c r="E105" s="5" t="n">
        <v>119280858.4632278</v>
      </c>
      <c r="F105" s="5" t="n">
        <v>79918175.17036264</v>
      </c>
      <c r="G105" s="5" t="n">
        <v>59938631.37777197</v>
      </c>
      <c r="H105" s="5" t="n">
        <v>47950905.10221758</v>
      </c>
      <c r="I105" s="5" t="n">
        <v>4882759.923716797</v>
      </c>
    </row>
    <row r="106">
      <c r="A106" s="7" t="n">
        <v>102</v>
      </c>
      <c r="B106" s="5" t="n">
        <v>1199434694.703526</v>
      </c>
      <c r="C106" s="5" t="n">
        <v>1199434694.703526</v>
      </c>
      <c r="D106" s="5" t="n">
        <v>479773877.8814105</v>
      </c>
      <c r="E106" s="5" t="n">
        <v>119943469.4703526</v>
      </c>
      <c r="F106" s="5" t="n">
        <v>80362124.54513627</v>
      </c>
      <c r="G106" s="5" t="n">
        <v>60271593.4088522</v>
      </c>
      <c r="H106" s="5" t="n">
        <v>48217274.72708177</v>
      </c>
      <c r="I106" s="5" t="n">
        <v>4838433.306118754</v>
      </c>
    </row>
    <row r="107">
      <c r="A107" s="7" t="n">
        <v>103</v>
      </c>
      <c r="B107" s="5" t="n">
        <v>1205976446.190217</v>
      </c>
      <c r="C107" s="5" t="n">
        <v>1205976446.190217</v>
      </c>
      <c r="D107" s="5" t="n">
        <v>482390578.476087</v>
      </c>
      <c r="E107" s="5" t="n">
        <v>120597644.6190218</v>
      </c>
      <c r="F107" s="5" t="n">
        <v>80800421.89474459</v>
      </c>
      <c r="G107" s="5" t="n">
        <v>60600316.42105845</v>
      </c>
      <c r="H107" s="5" t="n">
        <v>48480253.13684676</v>
      </c>
      <c r="I107" s="5" t="n">
        <v>4792887.325115195</v>
      </c>
    </row>
    <row r="108">
      <c r="A108" s="7" t="n">
        <v>104</v>
      </c>
      <c r="B108" s="5" t="n">
        <v>1212430551.876504</v>
      </c>
      <c r="C108" s="5" t="n">
        <v>1212430551.876504</v>
      </c>
      <c r="D108" s="5" t="n">
        <v>484972220.7506018</v>
      </c>
      <c r="E108" s="5" t="n">
        <v>121243055.1876504</v>
      </c>
      <c r="F108" s="5" t="n">
        <v>81232846.9757258</v>
      </c>
      <c r="G108" s="5" t="n">
        <v>60924635.23179435</v>
      </c>
      <c r="H108" s="5" t="n">
        <v>48739708.18543548</v>
      </c>
      <c r="I108" s="5" t="n">
        <v>4746023.673584886</v>
      </c>
    </row>
    <row r="109">
      <c r="A109" s="7" t="n">
        <v>105</v>
      </c>
      <c r="B109" s="5" t="n">
        <v>1218793916.670793</v>
      </c>
      <c r="C109" s="5" t="n">
        <v>1218793916.670793</v>
      </c>
      <c r="D109" s="5" t="n">
        <v>487517566.6683171</v>
      </c>
      <c r="E109" s="5" t="n">
        <v>121879391.6670793</v>
      </c>
      <c r="F109" s="5" t="n">
        <v>81659192.41694312</v>
      </c>
      <c r="G109" s="5" t="n">
        <v>61244394.31270733</v>
      </c>
      <c r="H109" s="5" t="n">
        <v>48995515.45016587</v>
      </c>
      <c r="I109" s="5" t="n">
        <v>4697766.747443716</v>
      </c>
    </row>
    <row r="110">
      <c r="A110" s="7" t="n">
        <v>106</v>
      </c>
      <c r="B110" s="5" t="n">
        <v>1225063645.3743</v>
      </c>
      <c r="C110" s="5" t="n">
        <v>1225063645.3743</v>
      </c>
      <c r="D110" s="5" t="n">
        <v>490025458.1497201</v>
      </c>
      <c r="E110" s="5" t="n">
        <v>122506364.53743</v>
      </c>
      <c r="F110" s="5" t="n">
        <v>82079264.24007812</v>
      </c>
      <c r="G110" s="5" t="n">
        <v>61559448.18005859</v>
      </c>
      <c r="H110" s="5" t="n">
        <v>49247558.54404688</v>
      </c>
      <c r="I110" s="5" t="n">
        <v>4648061.895834348</v>
      </c>
    </row>
    <row r="111">
      <c r="A111" s="7" t="n">
        <v>107</v>
      </c>
      <c r="B111" s="5" t="n">
        <v>1231237048.883984</v>
      </c>
      <c r="C111" s="5" t="n">
        <v>1231237048.883984</v>
      </c>
      <c r="D111" s="5" t="n">
        <v>492494819.5535935</v>
      </c>
      <c r="E111" s="5" t="n">
        <v>123123704.8883984</v>
      </c>
      <c r="F111" s="5" t="n">
        <v>82492882.27522691</v>
      </c>
      <c r="G111" s="5" t="n">
        <v>61869661.70642018</v>
      </c>
      <c r="H111" s="5" t="n">
        <v>49495729.36513615</v>
      </c>
      <c r="I111" s="5" t="n">
        <v>4596873.741399698</v>
      </c>
    </row>
    <row r="112">
      <c r="A112" s="7" t="n">
        <v>108</v>
      </c>
      <c r="B112" s="5" t="n">
        <v>1237311648.897269</v>
      </c>
      <c r="C112" s="5" t="n">
        <v>1237311648.897269</v>
      </c>
      <c r="D112" s="5" t="n">
        <v>494924659.5589076</v>
      </c>
      <c r="E112" s="5" t="n">
        <v>123731164.8897269</v>
      </c>
      <c r="F112" s="5" t="n">
        <v>82899880.47611703</v>
      </c>
      <c r="G112" s="5" t="n">
        <v>62174910.35708778</v>
      </c>
      <c r="H112" s="5" t="n">
        <v>49739928.28567022</v>
      </c>
      <c r="I112" s="5" t="n">
        <v>4544184.568149852</v>
      </c>
    </row>
    <row r="113">
      <c r="A113" s="7" t="n">
        <v>109</v>
      </c>
      <c r="B113" s="5" t="n">
        <v>1243285181.19041</v>
      </c>
      <c r="C113" s="5" t="n">
        <v>1243285181.19041</v>
      </c>
      <c r="D113" s="5" t="n">
        <v>497314072.476164</v>
      </c>
      <c r="E113" s="5" t="n">
        <v>124328518.119041</v>
      </c>
      <c r="F113" s="5" t="n">
        <v>83300107.13975747</v>
      </c>
      <c r="G113" s="5" t="n">
        <v>62475080.35481811</v>
      </c>
      <c r="H113" s="5" t="n">
        <v>49980064.28385448</v>
      </c>
      <c r="I113" s="5" t="n">
        <v>4489992.774975305</v>
      </c>
    </row>
    <row r="114">
      <c r="A114" s="7" t="n">
        <v>110</v>
      </c>
      <c r="B114" s="5" t="n">
        <v>1249155597.546211</v>
      </c>
      <c r="C114" s="5" t="n">
        <v>1249155597.546211</v>
      </c>
      <c r="D114" s="5" t="n">
        <v>499662239.0184845</v>
      </c>
      <c r="E114" s="5" t="n">
        <v>124915559.7546211</v>
      </c>
      <c r="F114" s="5" t="n">
        <v>83693425.03559616</v>
      </c>
      <c r="G114" s="5" t="n">
        <v>62770068.77669712</v>
      </c>
      <c r="H114" s="5" t="n">
        <v>50216055.0213577</v>
      </c>
      <c r="I114" s="5" t="n">
        <v>4434311.393316468</v>
      </c>
    </row>
    <row r="115">
      <c r="A115" s="7" t="n">
        <v>111</v>
      </c>
      <c r="B115" s="5" t="n">
        <v>1254921066.41029</v>
      </c>
      <c r="C115" s="5" t="n">
        <v>1254921066.41029</v>
      </c>
      <c r="D115" s="5" t="n">
        <v>501968426.564116</v>
      </c>
      <c r="E115" s="5" t="n">
        <v>125492106.641029</v>
      </c>
      <c r="F115" s="5" t="n">
        <v>84079711.44948943</v>
      </c>
      <c r="G115" s="5" t="n">
        <v>63059783.58711708</v>
      </c>
      <c r="H115" s="5" t="n">
        <v>50447826.86969367</v>
      </c>
      <c r="I115" s="5" t="n">
        <v>4377166.667878089</v>
      </c>
    </row>
    <row r="116">
      <c r="A116" s="7" t="n">
        <v>112</v>
      </c>
      <c r="B116" s="5" t="n">
        <v>1260579972.357876</v>
      </c>
      <c r="C116" s="5" t="n">
        <v>1260579972.357876</v>
      </c>
      <c r="D116" s="5" t="n">
        <v>504231988.9431503</v>
      </c>
      <c r="E116" s="5" t="n">
        <v>126057997.2357876</v>
      </c>
      <c r="F116" s="5" t="n">
        <v>84458858.14797768</v>
      </c>
      <c r="G116" s="5" t="n">
        <v>63344143.61098326</v>
      </c>
      <c r="H116" s="5" t="n">
        <v>50675314.88878661</v>
      </c>
      <c r="I116" s="5" t="n">
        <v>4318596.699578531</v>
      </c>
    </row>
    <row r="117">
      <c r="A117" s="7" t="n">
        <v>113</v>
      </c>
      <c r="B117" s="5" t="n">
        <v>1266130914.455347</v>
      </c>
      <c r="C117" s="5" t="n">
        <v>1266130914.455347</v>
      </c>
      <c r="D117" s="5" t="n">
        <v>506452365.7821386</v>
      </c>
      <c r="E117" s="5" t="n">
        <v>126613091.4455347</v>
      </c>
      <c r="F117" s="5" t="n">
        <v>84830771.26850823</v>
      </c>
      <c r="G117" s="5" t="n">
        <v>63623078.45138117</v>
      </c>
      <c r="H117" s="5" t="n">
        <v>50898462.76110494</v>
      </c>
      <c r="I117" s="5" t="n">
        <v>4258650.150151224</v>
      </c>
    </row>
    <row r="118">
      <c r="A118" s="7" t="n">
        <v>114</v>
      </c>
      <c r="B118" s="5" t="n">
        <v>1271572703.60225</v>
      </c>
      <c r="C118" s="5" t="n">
        <v>1271572703.60225</v>
      </c>
      <c r="D118" s="5" t="n">
        <v>508629081.4409001</v>
      </c>
      <c r="E118" s="5" t="n">
        <v>127157270.360225</v>
      </c>
      <c r="F118" s="5" t="n">
        <v>85195371.14135078</v>
      </c>
      <c r="G118" s="5" t="n">
        <v>63896528.35601308</v>
      </c>
      <c r="H118" s="5" t="n">
        <v>51117222.68481047</v>
      </c>
      <c r="I118" s="5" t="n">
        <v>4197385.007978652</v>
      </c>
    </row>
    <row r="119">
      <c r="A119" s="7" t="n">
        <v>115</v>
      </c>
      <c r="B119" s="5" t="n">
        <v>1276904358.940417</v>
      </c>
      <c r="C119" s="5" t="n">
        <v>1276904358.940417</v>
      </c>
      <c r="D119" s="5" t="n">
        <v>510761743.5761667</v>
      </c>
      <c r="E119" s="5" t="n">
        <v>127690435.8940417</v>
      </c>
      <c r="F119" s="5" t="n">
        <v>85552592.04900794</v>
      </c>
      <c r="G119" s="5" t="n">
        <v>64164444.03675595</v>
      </c>
      <c r="H119" s="5" t="n">
        <v>51331555.22940476</v>
      </c>
      <c r="I119" s="5" t="n">
        <v>4134867.414837948</v>
      </c>
    </row>
    <row r="120">
      <c r="A120" s="7" t="n">
        <v>116</v>
      </c>
      <c r="B120" s="5" t="n">
        <v>1282125103.416964</v>
      </c>
      <c r="C120" s="5" t="n">
        <v>1282125103.416964</v>
      </c>
      <c r="D120" s="5" t="n">
        <v>512850041.3667855</v>
      </c>
      <c r="E120" s="5" t="n">
        <v>128212510.3416964</v>
      </c>
      <c r="F120" s="5" t="n">
        <v>85902381.92893659</v>
      </c>
      <c r="G120" s="5" t="n">
        <v>64426786.44670244</v>
      </c>
      <c r="H120" s="5" t="n">
        <v>51541429.15736195</v>
      </c>
      <c r="I120" s="5" t="n">
        <v>4071170.553282802</v>
      </c>
    </row>
    <row r="121">
      <c r="A121" s="7" t="n">
        <v>117</v>
      </c>
      <c r="B121" s="5" t="n">
        <v>1287234358.587544</v>
      </c>
      <c r="C121" s="5" t="n">
        <v>1432234358.587544</v>
      </c>
      <c r="D121" s="5" t="n">
        <v>572893743.4350176</v>
      </c>
      <c r="E121" s="5" t="n">
        <v>143223435.8587544</v>
      </c>
      <c r="F121" s="5" t="n">
        <v>95959702.02536546</v>
      </c>
      <c r="G121" s="5" t="n">
        <v>71969776.51902409</v>
      </c>
      <c r="H121" s="5" t="n">
        <v>57575821.21521927</v>
      </c>
      <c r="I121" s="5" t="n">
        <v>13721373.59438339</v>
      </c>
    </row>
    <row r="122">
      <c r="A122" s="7" t="n">
        <v>118</v>
      </c>
      <c r="B122" s="5" t="n">
        <v>1292231738.745091</v>
      </c>
      <c r="C122" s="5" t="n">
        <v>1408231738.745091</v>
      </c>
      <c r="D122" s="5" t="n">
        <v>563292695.4980363</v>
      </c>
      <c r="E122" s="5" t="n">
        <v>140823173.8745091</v>
      </c>
      <c r="F122" s="5" t="n">
        <v>94351526.49592108</v>
      </c>
      <c r="G122" s="5" t="n">
        <v>70763644.87194081</v>
      </c>
      <c r="H122" s="5" t="n">
        <v>56610915.89755265</v>
      </c>
      <c r="I122" s="5" t="n">
        <v>12349236.23494505</v>
      </c>
    </row>
    <row r="123">
      <c r="A123" s="7" t="n">
        <v>119</v>
      </c>
      <c r="B123" s="5" t="n">
        <v>1297117044.457653</v>
      </c>
      <c r="C123" s="5" t="n">
        <v>1389917044.457653</v>
      </c>
      <c r="D123" s="5" t="n">
        <v>555966817.7830613</v>
      </c>
      <c r="E123" s="5" t="n">
        <v>138991704.4457653</v>
      </c>
      <c r="F123" s="5" t="n">
        <v>93124441.97866277</v>
      </c>
      <c r="G123" s="5" t="n">
        <v>69843331.48399708</v>
      </c>
      <c r="H123" s="5" t="n">
        <v>55874665.18719766</v>
      </c>
      <c r="I123" s="5" t="n">
        <v>11114312.61145055</v>
      </c>
    </row>
    <row r="124">
      <c r="A124" s="7" t="n">
        <v>120</v>
      </c>
      <c r="B124" s="5" t="n">
        <v>1301890255.596694</v>
      </c>
      <c r="C124" s="5" t="n">
        <v>1376130255.596694</v>
      </c>
      <c r="D124" s="5" t="n">
        <v>550452102.2386774</v>
      </c>
      <c r="E124" s="5" t="n">
        <v>137613025.5596693</v>
      </c>
      <c r="F124" s="5" t="n">
        <v>92200727.12497847</v>
      </c>
      <c r="G124" s="5" t="n">
        <v>69150545.34373385</v>
      </c>
      <c r="H124" s="5" t="n">
        <v>55320436.27498708</v>
      </c>
      <c r="I124" s="5" t="n">
        <v>10002881.35030549</v>
      </c>
    </row>
    <row r="125">
      <c r="A125" s="7" t="n">
        <v>121</v>
      </c>
      <c r="B125" s="5" t="n">
        <v>1306551523.934528</v>
      </c>
      <c r="C125" s="5" t="n">
        <v>1365943523.934528</v>
      </c>
      <c r="D125" s="5" t="n">
        <v>546377409.5738112</v>
      </c>
      <c r="E125" s="5" t="n">
        <v>136594352.3934528</v>
      </c>
      <c r="F125" s="5" t="n">
        <v>91518216.10361338</v>
      </c>
      <c r="G125" s="5" t="n">
        <v>68638662.07771003</v>
      </c>
      <c r="H125" s="5" t="n">
        <v>54910929.66216803</v>
      </c>
      <c r="I125" s="5" t="n">
        <v>9002593.215274943</v>
      </c>
    </row>
    <row r="126">
      <c r="A126" s="7" t="n">
        <v>122</v>
      </c>
      <c r="B126" s="5" t="n">
        <v>1311101165.386449</v>
      </c>
      <c r="C126" s="5" t="n">
        <v>1358614765.386449</v>
      </c>
      <c r="D126" s="5" t="n">
        <v>543445906.1545795</v>
      </c>
      <c r="E126" s="5" t="n">
        <v>135861476.5386449</v>
      </c>
      <c r="F126" s="5" t="n">
        <v>91027189.28089207</v>
      </c>
      <c r="G126" s="5" t="n">
        <v>68270391.96066906</v>
      </c>
      <c r="H126" s="5" t="n">
        <v>54616313.56853525</v>
      </c>
      <c r="I126" s="5" t="n">
        <v>8102333.893747449</v>
      </c>
    </row>
    <row r="127">
      <c r="A127" s="7" t="n">
        <v>123</v>
      </c>
      <c r="B127" s="5" t="n">
        <v>1315539651.969586</v>
      </c>
      <c r="C127" s="5" t="n">
        <v>1353550531.969586</v>
      </c>
      <c r="D127" s="5" t="n">
        <v>541420212.7878344</v>
      </c>
      <c r="E127" s="5" t="n">
        <v>135355053.1969586</v>
      </c>
      <c r="F127" s="5" t="n">
        <v>90687885.64196227</v>
      </c>
      <c r="G127" s="5" t="n">
        <v>68015914.2314717</v>
      </c>
      <c r="H127" s="5" t="n">
        <v>54412731.38517737</v>
      </c>
      <c r="I127" s="5" t="n">
        <v>7292100.504372704</v>
      </c>
    </row>
    <row r="128">
      <c r="A128" s="7" t="n">
        <v>124</v>
      </c>
      <c r="B128" s="5" t="n">
        <v>1319867603.546729</v>
      </c>
      <c r="C128" s="5" t="n">
        <v>1350276307.546729</v>
      </c>
      <c r="D128" s="5" t="n">
        <v>540110523.0186917</v>
      </c>
      <c r="E128" s="5" t="n">
        <v>135027630.7546729</v>
      </c>
      <c r="F128" s="5" t="n">
        <v>90468512.60563086</v>
      </c>
      <c r="G128" s="5" t="n">
        <v>67851384.45422314</v>
      </c>
      <c r="H128" s="5" t="n">
        <v>54281107.56337851</v>
      </c>
      <c r="I128" s="5" t="n">
        <v>6562890.453935433</v>
      </c>
    </row>
    <row r="129">
      <c r="A129" s="7" t="n">
        <v>125</v>
      </c>
      <c r="B129" s="5" t="n">
        <v>1324085779.419303</v>
      </c>
      <c r="C129" s="5" t="n">
        <v>1324085779.419303</v>
      </c>
      <c r="D129" s="5" t="n">
        <v>529634311.7677214</v>
      </c>
      <c r="E129" s="5" t="n">
        <v>132408577.9419304</v>
      </c>
      <c r="F129" s="5" t="n">
        <v>88713747.22109334</v>
      </c>
      <c r="G129" s="5" t="n">
        <v>66535310.41582</v>
      </c>
      <c r="H129" s="5" t="n">
        <v>53228248.332656</v>
      </c>
      <c r="I129" s="5" t="n">
        <v>5906601.40854189</v>
      </c>
    </row>
    <row r="130">
      <c r="A130" s="7" t="n">
        <v>126</v>
      </c>
      <c r="B130" s="5" t="n">
        <v>1328195069.829419</v>
      </c>
      <c r="C130" s="5" t="n">
        <v>1328195069.829419</v>
      </c>
      <c r="D130" s="5" t="n">
        <v>531278027.9317675</v>
      </c>
      <c r="E130" s="5" t="n">
        <v>132819506.9829419</v>
      </c>
      <c r="F130" s="5" t="n">
        <v>88989069.67857106</v>
      </c>
      <c r="G130" s="5" t="n">
        <v>66741802.2589283</v>
      </c>
      <c r="H130" s="5" t="n">
        <v>53393441.80714265</v>
      </c>
      <c r="I130" s="5" t="n">
        <v>5591263.725165419</v>
      </c>
    </row>
    <row r="131">
      <c r="A131" s="7" t="n">
        <v>127</v>
      </c>
      <c r="B131" s="5" t="n">
        <v>1332196487.426563</v>
      </c>
      <c r="C131" s="5" t="n">
        <v>1332196487.426563</v>
      </c>
      <c r="D131" s="5" t="n">
        <v>532878594.9706252</v>
      </c>
      <c r="E131" s="5" t="n">
        <v>133219648.7426563</v>
      </c>
      <c r="F131" s="5" t="n">
        <v>89257164.65757972</v>
      </c>
      <c r="G131" s="5" t="n">
        <v>66942873.49318479</v>
      </c>
      <c r="H131" s="5" t="n">
        <v>53554298.79454783</v>
      </c>
      <c r="I131" s="5" t="n">
        <v>5300232.331657537</v>
      </c>
    </row>
    <row r="132">
      <c r="A132" s="7" t="n">
        <v>128</v>
      </c>
      <c r="B132" s="5" t="n">
        <v>1336091158.750033</v>
      </c>
      <c r="C132" s="5" t="n">
        <v>1336091158.750033</v>
      </c>
      <c r="D132" s="5" t="n">
        <v>534436463.5000132</v>
      </c>
      <c r="E132" s="5" t="n">
        <v>133609115.8750033</v>
      </c>
      <c r="F132" s="5" t="n">
        <v>89518107.63625221</v>
      </c>
      <c r="G132" s="5" t="n">
        <v>67138580.72718915</v>
      </c>
      <c r="H132" s="5" t="n">
        <v>53710864.58175132</v>
      </c>
      <c r="I132" s="5" t="n">
        <v>5031152.077164273</v>
      </c>
    </row>
    <row r="133">
      <c r="A133" s="7" t="n">
        <v>129</v>
      </c>
      <c r="B133" s="5" t="n">
        <v>1339880315.773742</v>
      </c>
      <c r="C133" s="5" t="n">
        <v>1339880315.773742</v>
      </c>
      <c r="D133" s="5" t="n">
        <v>535952126.3094969</v>
      </c>
      <c r="E133" s="5" t="n">
        <v>133988031.5773742</v>
      </c>
      <c r="F133" s="5" t="n">
        <v>89771981.15684073</v>
      </c>
      <c r="G133" s="5" t="n">
        <v>67328985.86763054</v>
      </c>
      <c r="H133" s="5" t="n">
        <v>53863188.69410443</v>
      </c>
      <c r="I133" s="5" t="n">
        <v>4781910.390036363</v>
      </c>
    </row>
    <row r="134">
      <c r="A134" s="7" t="n">
        <v>130</v>
      </c>
      <c r="B134" s="5" t="n">
        <v>1343565287.555575</v>
      </c>
      <c r="C134" s="5" t="n">
        <v>1343565287.555575</v>
      </c>
      <c r="D134" s="5" t="n">
        <v>537426115.0222301</v>
      </c>
      <c r="E134" s="5" t="n">
        <v>134356528.7555575</v>
      </c>
      <c r="F134" s="5" t="n">
        <v>90018874.26622355</v>
      </c>
      <c r="G134" s="5" t="n">
        <v>67514155.69966766</v>
      </c>
      <c r="H134" s="5" t="n">
        <v>54011324.55973414</v>
      </c>
      <c r="I134" s="5" t="n">
        <v>4550612.460415551</v>
      </c>
    </row>
    <row r="135">
      <c r="A135" s="7" t="n">
        <v>131</v>
      </c>
      <c r="B135" s="5" t="n">
        <v>1347147492.029075</v>
      </c>
      <c r="C135" s="5" t="n">
        <v>1347147492.029075</v>
      </c>
      <c r="D135" s="5" t="n">
        <v>538858996.8116301</v>
      </c>
      <c r="E135" s="5" t="n">
        <v>134714749.2029075</v>
      </c>
      <c r="F135" s="5" t="n">
        <v>90258881.96594805</v>
      </c>
      <c r="G135" s="5" t="n">
        <v>67694161.47446103</v>
      </c>
      <c r="H135" s="5" t="n">
        <v>54155329.17956883</v>
      </c>
      <c r="I135" s="5" t="n">
        <v>4335558.914098491</v>
      </c>
    </row>
    <row r="136">
      <c r="A136" s="7" t="n">
        <v>132</v>
      </c>
      <c r="B136" s="5" t="n">
        <v>1350628427.970952</v>
      </c>
      <c r="C136" s="5" t="n">
        <v>1350628427.970952</v>
      </c>
      <c r="D136" s="5" t="n">
        <v>540251371.1883807</v>
      </c>
      <c r="E136" s="5" t="n">
        <v>135062842.7970952</v>
      </c>
      <c r="F136" s="5" t="n">
        <v>90492104.67405377</v>
      </c>
      <c r="G136" s="5" t="n">
        <v>67869078.50554033</v>
      </c>
      <c r="H136" s="5" t="n">
        <v>54295262.80443227</v>
      </c>
      <c r="I136" s="5" t="n">
        <v>4135225.73079437</v>
      </c>
    </row>
    <row r="137">
      <c r="A137" s="7" t="n">
        <v>133</v>
      </c>
      <c r="B137" s="5" t="n">
        <v>1354009667.173757</v>
      </c>
      <c r="C137" s="5" t="n">
        <v>1354009667.173757</v>
      </c>
      <c r="D137" s="5" t="n">
        <v>541603866.8695029</v>
      </c>
      <c r="E137" s="5" t="n">
        <v>135400966.7173757</v>
      </c>
      <c r="F137" s="5" t="n">
        <v>90718647.70064174</v>
      </c>
      <c r="G137" s="5" t="n">
        <v>68038985.7754813</v>
      </c>
      <c r="H137" s="5" t="n">
        <v>54431188.62038504</v>
      </c>
      <c r="I137" s="5" t="n">
        <v>3948246.184302896</v>
      </c>
    </row>
    <row r="138">
      <c r="A138" s="7" t="n">
        <v>134</v>
      </c>
      <c r="B138" s="5" t="n">
        <v>1357292846.849055</v>
      </c>
      <c r="C138" s="5" t="n">
        <v>1357292846.849055</v>
      </c>
      <c r="D138" s="5" t="n">
        <v>542917138.7396221</v>
      </c>
      <c r="E138" s="5" t="n">
        <v>135729284.6849055</v>
      </c>
      <c r="F138" s="5" t="n">
        <v>90938620.73888671</v>
      </c>
      <c r="G138" s="5" t="n">
        <v>68203965.55416504</v>
      </c>
      <c r="H138" s="5" t="n">
        <v>54563172.44333203</v>
      </c>
      <c r="I138" s="5" t="n">
        <v>3773394.604117584</v>
      </c>
    </row>
    <row r="139">
      <c r="A139" s="7" t="n">
        <v>135</v>
      </c>
      <c r="B139" s="5" t="n">
        <v>1360479662.282616</v>
      </c>
      <c r="C139" s="5" t="n">
        <v>1360479662.282616</v>
      </c>
      <c r="D139" s="5" t="n">
        <v>544191864.9130464</v>
      </c>
      <c r="E139" s="5" t="n">
        <v>136047966.2282616</v>
      </c>
      <c r="F139" s="5" t="n">
        <v>91152137.37293527</v>
      </c>
      <c r="G139" s="5" t="n">
        <v>68364103.02970144</v>
      </c>
      <c r="H139" s="5" t="n">
        <v>54691282.42376116</v>
      </c>
      <c r="I139" s="5" t="n">
        <v>3609571.777754378</v>
      </c>
    </row>
    <row r="140">
      <c r="A140" s="7" t="n">
        <v>136</v>
      </c>
      <c r="B140" s="5" t="n">
        <v>1363571859.759547</v>
      </c>
      <c r="C140" s="5" t="n">
        <v>1363571859.759547</v>
      </c>
      <c r="D140" s="5" t="n">
        <v>545428743.9038187</v>
      </c>
      <c r="E140" s="5" t="n">
        <v>136357185.9759547</v>
      </c>
      <c r="F140" s="5" t="n">
        <v>91359314.60388964</v>
      </c>
      <c r="G140" s="5" t="n">
        <v>68519485.95291723</v>
      </c>
      <c r="H140" s="5" t="n">
        <v>54815588.76233379</v>
      </c>
      <c r="I140" s="5" t="n">
        <v>3455791.830933319</v>
      </c>
    </row>
    <row r="141">
      <c r="A141" s="7" t="n">
        <v>137</v>
      </c>
      <c r="B141" s="5" t="n">
        <v>1366571229.77387</v>
      </c>
      <c r="C141" s="5" t="n">
        <v>1366571229.77387</v>
      </c>
      <c r="D141" s="5" t="n">
        <v>546628491.9095482</v>
      </c>
      <c r="E141" s="5" t="n">
        <v>136657122.977387</v>
      </c>
      <c r="F141" s="5" t="n">
        <v>91560272.39484933</v>
      </c>
      <c r="G141" s="5" t="n">
        <v>68670204.29613701</v>
      </c>
      <c r="H141" s="5" t="n">
        <v>54936163.43690961</v>
      </c>
      <c r="I141" s="5" t="n">
        <v>3311170.438799673</v>
      </c>
    </row>
    <row r="142">
      <c r="A142" s="7" t="n">
        <v>138</v>
      </c>
      <c r="B142" s="5" t="n">
        <v>1369479600.533894</v>
      </c>
      <c r="C142" s="5" t="n">
        <v>1369479600.533894</v>
      </c>
      <c r="D142" s="5" t="n">
        <v>547791840.2135575</v>
      </c>
      <c r="E142" s="5" t="n">
        <v>136947960.0533894</v>
      </c>
      <c r="F142" s="5" t="n">
        <v>91755133.23577088</v>
      </c>
      <c r="G142" s="5" t="n">
        <v>68816349.92682816</v>
      </c>
      <c r="H142" s="5" t="n">
        <v>55053079.94146253</v>
      </c>
      <c r="I142" s="5" t="n">
        <v>3174914.235841257</v>
      </c>
    </row>
    <row r="143">
      <c r="A143" s="7" t="n">
        <v>139</v>
      </c>
      <c r="B143" s="5" t="n">
        <v>1372298831.771757</v>
      </c>
      <c r="C143" s="5" t="n">
        <v>1372298831.771757</v>
      </c>
      <c r="D143" s="5" t="n">
        <v>548919532.7087029</v>
      </c>
      <c r="E143" s="5" t="n">
        <v>137229883.1771757</v>
      </c>
      <c r="F143" s="5" t="n">
        <v>91944021.72870775</v>
      </c>
      <c r="G143" s="5" t="n">
        <v>68958016.29653081</v>
      </c>
      <c r="H143" s="5" t="n">
        <v>55166413.03722465</v>
      </c>
      <c r="I143" s="5" t="n">
        <v>3046311.305193996</v>
      </c>
    </row>
    <row r="144">
      <c r="A144" s="7" t="n">
        <v>140</v>
      </c>
      <c r="B144" s="5" t="n">
        <v>1375030808.862867</v>
      </c>
      <c r="C144" s="5" t="n">
        <v>1375030808.862867</v>
      </c>
      <c r="D144" s="5" t="n">
        <v>550012323.5451468</v>
      </c>
      <c r="E144" s="5" t="n">
        <v>137503080.8862867</v>
      </c>
      <c r="F144" s="5" t="n">
        <v>92127064.1938121</v>
      </c>
      <c r="G144" s="5" t="n">
        <v>69095298.14535907</v>
      </c>
      <c r="H144" s="5" t="n">
        <v>55276238.51628726</v>
      </c>
      <c r="I144" s="5" t="n">
        <v>2924722.639778953</v>
      </c>
    </row>
    <row r="145">
      <c r="A145" s="7" t="n">
        <v>141</v>
      </c>
      <c r="B145" s="5" t="n">
        <v>1377677437.258407</v>
      </c>
      <c r="C145" s="5" t="n">
        <v>1377677437.258407</v>
      </c>
      <c r="D145" s="5" t="n">
        <v>551070974.9033626</v>
      </c>
      <c r="E145" s="5" t="n">
        <v>137767743.7258407</v>
      </c>
      <c r="F145" s="5" t="n">
        <v>92304388.29631324</v>
      </c>
      <c r="G145" s="5" t="n">
        <v>69228291.22223493</v>
      </c>
      <c r="H145" s="5" t="n">
        <v>55382632.97778795</v>
      </c>
      <c r="I145" s="5" t="n">
        <v>2809574.478302197</v>
      </c>
    </row>
    <row r="146">
      <c r="A146" s="7" t="n">
        <v>142</v>
      </c>
      <c r="B146" s="5" t="n">
        <v>1380240637.231908</v>
      </c>
      <c r="C146" s="5" t="n">
        <v>1380240637.231908</v>
      </c>
      <c r="D146" s="5" t="n">
        <v>552096254.8927631</v>
      </c>
      <c r="E146" s="5" t="n">
        <v>138024063.7231908</v>
      </c>
      <c r="F146" s="5" t="n">
        <v>92476122.69453783</v>
      </c>
      <c r="G146" s="5" t="n">
        <v>69357092.02090338</v>
      </c>
      <c r="H146" s="5" t="n">
        <v>55485673.6167227</v>
      </c>
      <c r="I146" s="5" t="n">
        <v>2700351.42869657</v>
      </c>
    </row>
    <row r="147">
      <c r="A147" s="7" t="n">
        <v>143</v>
      </c>
      <c r="B147" s="5" t="n">
        <v>1382722338.938823</v>
      </c>
      <c r="C147" s="5" t="n">
        <v>1382722338.938823</v>
      </c>
      <c r="D147" s="5" t="n">
        <v>553088935.5755293</v>
      </c>
      <c r="E147" s="5" t="n">
        <v>138272233.8938823</v>
      </c>
      <c r="F147" s="5" t="n">
        <v>92642396.70890117</v>
      </c>
      <c r="G147" s="5" t="n">
        <v>69481797.53167588</v>
      </c>
      <c r="H147" s="5" t="n">
        <v>55585438.02534071</v>
      </c>
      <c r="I147" s="5" t="n">
        <v>2596590.300190246</v>
      </c>
    </row>
    <row r="148">
      <c r="A148" s="7" t="n">
        <v>144</v>
      </c>
      <c r="B148" s="5" t="n">
        <v>1385124477.786252</v>
      </c>
      <c r="C148" s="5" t="n">
        <v>1385124477.786252</v>
      </c>
      <c r="D148" s="5" t="n">
        <v>554049791.1145006</v>
      </c>
      <c r="E148" s="5" t="n">
        <v>138512447.7786252</v>
      </c>
      <c r="F148" s="5" t="n">
        <v>92803340.01167886</v>
      </c>
      <c r="G148" s="5" t="n">
        <v>69602505.00875914</v>
      </c>
      <c r="H148" s="5" t="n">
        <v>55682004.00700732</v>
      </c>
      <c r="I148" s="5" t="n">
        <v>2497874.572948914</v>
      </c>
    </row>
    <row r="149">
      <c r="A149" s="7" t="n">
        <v>145</v>
      </c>
      <c r="B149" s="5" t="n">
        <v>1387448990.108372</v>
      </c>
      <c r="C149" s="5" t="n">
        <v>1387448990.108372</v>
      </c>
      <c r="D149" s="5" t="n">
        <v>554979596.0433489</v>
      </c>
      <c r="E149" s="5" t="n">
        <v>138744899.0108372</v>
      </c>
      <c r="F149" s="5" t="n">
        <v>92959082.33726095</v>
      </c>
      <c r="G149" s="5" t="n">
        <v>69719311.75294571</v>
      </c>
      <c r="H149" s="5" t="n">
        <v>55775449.40235656</v>
      </c>
      <c r="I149" s="5" t="n">
        <v>2403829.44123611</v>
      </c>
    </row>
    <row r="150">
      <c r="A150" s="7" t="n">
        <v>146</v>
      </c>
      <c r="B150" s="5" t="n">
        <v>1389697809.141758</v>
      </c>
      <c r="C150" s="5" t="n">
        <v>1389697809.141758</v>
      </c>
      <c r="D150" s="5" t="n">
        <v>555879123.6567034</v>
      </c>
      <c r="E150" s="5" t="n">
        <v>138969780.9141758</v>
      </c>
      <c r="F150" s="5" t="n">
        <v>93109753.21249782</v>
      </c>
      <c r="G150" s="5" t="n">
        <v>69832314.90937336</v>
      </c>
      <c r="H150" s="5" t="n">
        <v>55865851.92749869</v>
      </c>
      <c r="I150" s="5" t="n">
        <v>2314117.372349368</v>
      </c>
    </row>
    <row r="151">
      <c r="A151" s="7" t="n">
        <v>147</v>
      </c>
      <c r="B151" s="5" t="n">
        <v>1391872861.293535</v>
      </c>
      <c r="C151" s="5" t="n">
        <v>1391872861.293535</v>
      </c>
      <c r="D151" s="5" t="n">
        <v>556749144.517414</v>
      </c>
      <c r="E151" s="5" t="n">
        <v>139187286.1293535</v>
      </c>
      <c r="F151" s="5" t="n">
        <v>93255481.70666684</v>
      </c>
      <c r="G151" s="5" t="n">
        <v>69941611.28000014</v>
      </c>
      <c r="H151" s="5" t="n">
        <v>55953289.02400011</v>
      </c>
      <c r="I151" s="5" t="n">
        <v>2228434.129283458</v>
      </c>
    </row>
    <row r="152">
      <c r="A152" s="7" t="n">
        <v>148</v>
      </c>
      <c r="B152" s="5" t="n">
        <v>1393976062.694333</v>
      </c>
      <c r="C152" s="5" t="n">
        <v>1393976062.694333</v>
      </c>
      <c r="D152" s="5" t="n">
        <v>557590425.0777333</v>
      </c>
      <c r="E152" s="5" t="n">
        <v>139397606.2694333</v>
      </c>
      <c r="F152" s="5" t="n">
        <v>93396396.20052034</v>
      </c>
      <c r="G152" s="5" t="n">
        <v>70047297.15039025</v>
      </c>
      <c r="H152" s="5" t="n">
        <v>56037837.72031221</v>
      </c>
      <c r="I152" s="5" t="n">
        <v>2146505.210208607</v>
      </c>
    </row>
    <row r="153">
      <c r="A153" s="7" t="n">
        <v>149</v>
      </c>
      <c r="B153" s="5" t="n">
        <v>1396009316.027134</v>
      </c>
      <c r="C153" s="5" t="n">
        <v>1396009316.027134</v>
      </c>
      <c r="D153" s="5" t="n">
        <v>558403726.4108536</v>
      </c>
      <c r="E153" s="5" t="n">
        <v>139600931.6027134</v>
      </c>
      <c r="F153" s="5" t="n">
        <v>93532624.17381799</v>
      </c>
      <c r="G153" s="5" t="n">
        <v>70149468.13036349</v>
      </c>
      <c r="H153" s="5" t="n">
        <v>56119574.5042908</v>
      </c>
      <c r="I153" s="5" t="n">
        <v>2068082.662485402</v>
      </c>
    </row>
    <row r="154">
      <c r="A154" s="7" t="n">
        <v>150</v>
      </c>
      <c r="B154" s="5" t="n">
        <v>1397974507.622392</v>
      </c>
      <c r="C154" s="5" t="n">
        <v>1397974507.622392</v>
      </c>
      <c r="D154" s="5" t="n">
        <v>559189803.0489568</v>
      </c>
      <c r="E154" s="5" t="n">
        <v>139797450.7622392</v>
      </c>
      <c r="F154" s="5" t="n">
        <v>93664292.01070026</v>
      </c>
      <c r="G154" s="5" t="n">
        <v>70248219.0080252</v>
      </c>
      <c r="H154" s="5" t="n">
        <v>56198575.20642016</v>
      </c>
      <c r="I154" s="5" t="n">
        <v>1992942.233119125</v>
      </c>
    </row>
    <row r="155">
      <c r="A155" s="7" t="n">
        <v>151</v>
      </c>
      <c r="B155" s="5" t="n">
        <v>1399873504.809282</v>
      </c>
      <c r="C155" s="5" t="n">
        <v>1399873504.809282</v>
      </c>
      <c r="D155" s="5" t="n">
        <v>559949401.9237128</v>
      </c>
      <c r="E155" s="5" t="n">
        <v>139987350.4809282</v>
      </c>
      <c r="F155" s="5" t="n">
        <v>93791524.8222219</v>
      </c>
      <c r="G155" s="5" t="n">
        <v>70343643.61666644</v>
      </c>
      <c r="H155" s="5" t="n">
        <v>56274914.89333315</v>
      </c>
      <c r="I155" s="5" t="n">
        <v>1920880.821328862</v>
      </c>
    </row>
    <row r="156">
      <c r="A156" s="7" t="n">
        <v>152</v>
      </c>
      <c r="B156" s="5" t="n">
        <v>1401708153.512476</v>
      </c>
      <c r="C156" s="5" t="n">
        <v>1401708153.512476</v>
      </c>
      <c r="D156" s="5" t="n">
        <v>560683261.4049906</v>
      </c>
      <c r="E156" s="5" t="n">
        <v>140170815.3512476</v>
      </c>
      <c r="F156" s="5" t="n">
        <v>93914446.28533593</v>
      </c>
      <c r="G156" s="5" t="n">
        <v>70435834.71400195</v>
      </c>
      <c r="H156" s="5" t="n">
        <v>56348667.77120157</v>
      </c>
      <c r="I156" s="5" t="n">
        <v>1851714.202309999</v>
      </c>
    </row>
    <row r="157">
      <c r="A157" s="7" t="n">
        <v>153</v>
      </c>
      <c r="B157" s="5" t="n">
        <v>1403480276.083559</v>
      </c>
      <c r="C157" s="5" t="n">
        <v>1403480276.083559</v>
      </c>
      <c r="D157" s="5" t="n">
        <v>561392110.4334234</v>
      </c>
      <c r="E157" s="5" t="n">
        <v>140348027.6083558</v>
      </c>
      <c r="F157" s="5" t="n">
        <v>94033178.49759842</v>
      </c>
      <c r="G157" s="5" t="n">
        <v>70524883.87319882</v>
      </c>
      <c r="H157" s="5" t="n">
        <v>56419907.09855906</v>
      </c>
      <c r="I157" s="5" t="n">
        <v>1785274.994341495</v>
      </c>
    </row>
    <row r="158">
      <c r="A158" s="7" t="n">
        <v>154</v>
      </c>
      <c r="B158" s="5" t="n">
        <v>1405191669.355975</v>
      </c>
      <c r="C158" s="5" t="n">
        <v>1405191669.355975</v>
      </c>
      <c r="D158" s="5" t="n">
        <v>562076667.74239</v>
      </c>
      <c r="E158" s="5" t="n">
        <v>140519166.9355975</v>
      </c>
      <c r="F158" s="5" t="n">
        <v>94147841.84685034</v>
      </c>
      <c r="G158" s="5" t="n">
        <v>70610881.38513775</v>
      </c>
      <c r="H158" s="5" t="n">
        <v>56488705.1081102</v>
      </c>
      <c r="I158" s="5" t="n">
        <v>1721410.844159257</v>
      </c>
    </row>
    <row r="159">
      <c r="A159" s="7" t="n">
        <v>155</v>
      </c>
      <c r="B159" s="5" t="n">
        <v>1406844102.912328</v>
      </c>
      <c r="C159" s="5" t="n">
        <v>1406844102.912328</v>
      </c>
      <c r="D159" s="5" t="n">
        <v>562737641.1649313</v>
      </c>
      <c r="E159" s="5" t="n">
        <v>140684410.2912328</v>
      </c>
      <c r="F159" s="5" t="n">
        <v>94258554.895126</v>
      </c>
      <c r="G159" s="5" t="n">
        <v>70693916.1713445</v>
      </c>
      <c r="H159" s="5" t="n">
        <v>56555132.93707561</v>
      </c>
      <c r="I159" s="5" t="n">
        <v>1659982.808018996</v>
      </c>
    </row>
    <row r="160">
      <c r="A160" s="7" t="n">
        <v>156</v>
      </c>
      <c r="B160" s="5" t="n">
        <v>1408439317.552782</v>
      </c>
      <c r="C160" s="5" t="n">
        <v>1408439317.552782</v>
      </c>
      <c r="D160" s="5" t="n">
        <v>563375727.0211129</v>
      </c>
      <c r="E160" s="5" t="n">
        <v>140843931.7552782</v>
      </c>
      <c r="F160" s="5" t="n">
        <v>94365434.27603643</v>
      </c>
      <c r="G160" s="5" t="n">
        <v>70774075.70702732</v>
      </c>
      <c r="H160" s="5" t="n">
        <v>56619260.56562185</v>
      </c>
      <c r="I160" s="5" t="n">
        <v>1600863.908127523</v>
      </c>
    </row>
    <row r="161">
      <c r="A161" s="7" t="n">
        <v>157</v>
      </c>
      <c r="B161" s="5" t="n">
        <v>1409979023.953432</v>
      </c>
      <c r="C161" s="5" t="n">
        <v>1409979023.953432</v>
      </c>
      <c r="D161" s="5" t="n">
        <v>563991609.5813729</v>
      </c>
      <c r="E161" s="5" t="n">
        <v>140997902.3953432</v>
      </c>
      <c r="F161" s="5" t="n">
        <v>94468594.60487996</v>
      </c>
      <c r="G161" s="5" t="n">
        <v>70851445.95365997</v>
      </c>
      <c r="H161" s="5" t="n">
        <v>56681156.76292798</v>
      </c>
      <c r="I161" s="5" t="n">
        <v>1543937.846158304</v>
      </c>
    </row>
    <row r="162">
      <c r="A162" s="7" t="n">
        <v>158</v>
      </c>
      <c r="B162" s="5" t="n">
        <v>1411464901.50358</v>
      </c>
      <c r="C162" s="5" t="n">
        <v>1411464901.50358</v>
      </c>
      <c r="D162" s="5" t="n">
        <v>564585960.6014318</v>
      </c>
      <c r="E162" s="5" t="n">
        <v>141146490.150358</v>
      </c>
      <c r="F162" s="5" t="n">
        <v>94568148.40073983</v>
      </c>
      <c r="G162" s="5" t="n">
        <v>70926111.30055487</v>
      </c>
      <c r="H162" s="5" t="n">
        <v>56740889.0404439</v>
      </c>
      <c r="I162" s="5" t="n">
        <v>1489097.857402347</v>
      </c>
    </row>
    <row r="163">
      <c r="A163" s="7" t="n">
        <v>159</v>
      </c>
      <c r="B163" s="5" t="n">
        <v>1412898597.311068</v>
      </c>
      <c r="C163" s="5" t="n">
        <v>1412898597.311068</v>
      </c>
      <c r="D163" s="5" t="n">
        <v>565159438.9244273</v>
      </c>
      <c r="E163" s="5" t="n">
        <v>141289859.7311068</v>
      </c>
      <c r="F163" s="5" t="n">
        <v>94664206.01984157</v>
      </c>
      <c r="G163" s="5" t="n">
        <v>70998154.51488118</v>
      </c>
      <c r="H163" s="5" t="n">
        <v>56798523.61190495</v>
      </c>
      <c r="I163" s="5" t="n">
        <v>1436245.690763846</v>
      </c>
    </row>
    <row r="164">
      <c r="A164" s="7" t="n">
        <v>160</v>
      </c>
      <c r="B164" s="5" t="n">
        <v>1414281725.365034</v>
      </c>
      <c r="C164" s="5" t="n">
        <v>1414281725.365034</v>
      </c>
      <c r="D164" s="5" t="n">
        <v>565712690.1460136</v>
      </c>
      <c r="E164" s="5" t="n">
        <v>141428172.5365034</v>
      </c>
      <c r="F164" s="5" t="n">
        <v>94756875.59945729</v>
      </c>
      <c r="G164" s="5" t="n">
        <v>71067656.69959298</v>
      </c>
      <c r="H164" s="5" t="n">
        <v>56854125.35967439</v>
      </c>
      <c r="I164" s="5" t="n">
        <v>1385290.701303188</v>
      </c>
    </row>
    <row r="165">
      <c r="A165" s="7" t="n">
        <v>161</v>
      </c>
      <c r="B165" s="5" t="n">
        <v>1415615865.845718</v>
      </c>
      <c r="C165" s="5" t="n">
        <v>1415615865.845718</v>
      </c>
      <c r="D165" s="5" t="n">
        <v>566246346.3382872</v>
      </c>
      <c r="E165" s="5" t="n">
        <v>141561586.5845718</v>
      </c>
      <c r="F165" s="5" t="n">
        <v>94846263.01166312</v>
      </c>
      <c r="G165" s="5" t="n">
        <v>71134697.25874734</v>
      </c>
      <c r="H165" s="5" t="n">
        <v>56907757.80699787</v>
      </c>
      <c r="I165" s="5" t="n">
        <v>1336149.0433787</v>
      </c>
    </row>
    <row r="166">
      <c r="A166" s="7" t="n">
        <v>162</v>
      </c>
      <c r="B166" s="5" t="n">
        <v>1416902564.57127</v>
      </c>
      <c r="C166" s="5" t="n">
        <v>1416902564.57127</v>
      </c>
      <c r="D166" s="5" t="n">
        <v>566761025.828508</v>
      </c>
      <c r="E166" s="5" t="n">
        <v>141690256.457127</v>
      </c>
      <c r="F166" s="5" t="n">
        <v>94932471.8262751</v>
      </c>
      <c r="G166" s="5" t="n">
        <v>71199353.86970632</v>
      </c>
      <c r="H166" s="5" t="n">
        <v>56959483.09576505</v>
      </c>
      <c r="I166" s="5" t="n">
        <v>1288742.953652801</v>
      </c>
    </row>
    <row r="167">
      <c r="A167" s="7" t="n">
        <v>163</v>
      </c>
      <c r="B167" s="5" t="n">
        <v>1418143332.571825</v>
      </c>
      <c r="C167" s="5" t="n">
        <v>1418143332.571825</v>
      </c>
      <c r="D167" s="5" t="n">
        <v>567257333.0287298</v>
      </c>
      <c r="E167" s="5" t="n">
        <v>141814333.2571824</v>
      </c>
      <c r="F167" s="5" t="n">
        <v>95015603.28231224</v>
      </c>
      <c r="G167" s="5" t="n">
        <v>71261702.46173418</v>
      </c>
      <c r="H167" s="5" t="n">
        <v>57009361.96938735</v>
      </c>
      <c r="I167" s="5" t="n">
        <v>1243000.11432467</v>
      </c>
    </row>
    <row r="168">
      <c r="A168" s="7" t="n">
        <v>164</v>
      </c>
      <c r="B168" s="5" t="n">
        <v>1419339645.781467</v>
      </c>
      <c r="C168" s="5" t="n">
        <v>1419339645.781467</v>
      </c>
      <c r="D168" s="5" t="n">
        <v>567735858.3125869</v>
      </c>
      <c r="E168" s="5" t="n">
        <v>141933964.5781467</v>
      </c>
      <c r="F168" s="5" t="n">
        <v>95095756.26735832</v>
      </c>
      <c r="G168" s="5" t="n">
        <v>71321817.20051874</v>
      </c>
      <c r="H168" s="5" t="n">
        <v>57057453.760415</v>
      </c>
      <c r="I168" s="5" t="n">
        <v>1198853.087938277</v>
      </c>
    </row>
    <row r="169">
      <c r="A169" s="7" t="n">
        <v>165</v>
      </c>
      <c r="B169" s="5" t="n">
        <v>1420492944.83909</v>
      </c>
      <c r="C169" s="5" t="n">
        <v>1420492944.83909</v>
      </c>
      <c r="D169" s="5" t="n">
        <v>568197177.9356359</v>
      </c>
      <c r="E169" s="5" t="n">
        <v>142049294.483909</v>
      </c>
      <c r="F169" s="5" t="n">
        <v>95173027.30421902</v>
      </c>
      <c r="G169" s="5" t="n">
        <v>71379770.47816427</v>
      </c>
      <c r="H169" s="5" t="n">
        <v>57103816.38253142</v>
      </c>
      <c r="I169" s="5" t="n">
        <v>1156238.816005153</v>
      </c>
    </row>
    <row r="170">
      <c r="A170" s="7" t="n">
        <v>166</v>
      </c>
      <c r="B170" s="5" t="n">
        <v>1421604634.989508</v>
      </c>
      <c r="C170" s="5" t="n">
        <v>1421604634.989508</v>
      </c>
      <c r="D170" s="5" t="n">
        <v>568641853.9958032</v>
      </c>
      <c r="E170" s="5" t="n">
        <v>142160463.4989508</v>
      </c>
      <c r="F170" s="5" t="n">
        <v>95247510.54429705</v>
      </c>
      <c r="G170" s="5" t="n">
        <v>71435632.90822279</v>
      </c>
      <c r="H170" s="5" t="n">
        <v>57148506.32657824</v>
      </c>
      <c r="I170" s="5" t="n">
        <v>1115098.17448267</v>
      </c>
    </row>
    <row r="171">
      <c r="A171" s="7" t="n">
        <v>167</v>
      </c>
      <c r="B171" s="5" t="n">
        <v>1422676086.076615</v>
      </c>
      <c r="C171" s="5" t="n">
        <v>1422676086.076615</v>
      </c>
      <c r="D171" s="5" t="n">
        <v>569070434.4306459</v>
      </c>
      <c r="E171" s="5" t="n">
        <v>142267608.6076615</v>
      </c>
      <c r="F171" s="5" t="n">
        <v>95319297.76713321</v>
      </c>
      <c r="G171" s="5" t="n">
        <v>71489473.3253499</v>
      </c>
      <c r="H171" s="5" t="n">
        <v>57191578.66027992</v>
      </c>
      <c r="I171" s="5" t="n">
        <v>1075375.579870555</v>
      </c>
    </row>
    <row r="172">
      <c r="A172" s="7" t="n">
        <v>168</v>
      </c>
      <c r="B172" s="5" t="n">
        <v>1423708632.620717</v>
      </c>
      <c r="C172" s="5" t="n">
        <v>1423708632.620717</v>
      </c>
      <c r="D172" s="5" t="n">
        <v>569483453.0482867</v>
      </c>
      <c r="E172" s="5" t="n">
        <v>142370863.2620717</v>
      </c>
      <c r="F172" s="5" t="n">
        <v>95388478.38558802</v>
      </c>
      <c r="G172" s="5" t="n">
        <v>71541358.78919101</v>
      </c>
      <c r="H172" s="5" t="n">
        <v>57233087.03135281</v>
      </c>
      <c r="I172" s="5" t="n">
        <v>1037018.640338313</v>
      </c>
    </row>
    <row r="173">
      <c r="A173" s="7" t="n">
        <v>169</v>
      </c>
      <c r="B173" s="5" t="n">
        <v>1424703573.972628</v>
      </c>
      <c r="C173" s="5" t="n">
        <v>1569703573.972628</v>
      </c>
      <c r="D173" s="5" t="n">
        <v>627881429.5890512</v>
      </c>
      <c r="E173" s="5" t="n">
        <v>156970357.3972628</v>
      </c>
      <c r="F173" s="5" t="n">
        <v>105170139.4561661</v>
      </c>
      <c r="G173" s="5" t="n">
        <v>78877604.59212457</v>
      </c>
      <c r="H173" s="5" t="n">
        <v>63102083.67369965</v>
      </c>
      <c r="I173" s="5" t="n">
        <v>10714977.84688255</v>
      </c>
    </row>
    <row r="174">
      <c r="A174" s="7" t="n">
        <v>170</v>
      </c>
      <c r="B174" s="5" t="n">
        <v>1425662174.537455</v>
      </c>
      <c r="C174" s="5" t="n">
        <v>1541662174.537455</v>
      </c>
      <c r="D174" s="5" t="n">
        <v>616664869.8149818</v>
      </c>
      <c r="E174" s="5" t="n">
        <v>154166217.4537455</v>
      </c>
      <c r="F174" s="5" t="n">
        <v>103291365.6940095</v>
      </c>
      <c r="G174" s="5" t="n">
        <v>77468524.2705071</v>
      </c>
      <c r="H174" s="5" t="n">
        <v>61974819.41640568</v>
      </c>
      <c r="I174" s="5" t="n">
        <v>9643480.062194295</v>
      </c>
    </row>
    <row r="175">
      <c r="A175" s="7" t="n">
        <v>171</v>
      </c>
      <c r="B175" s="5" t="n">
        <v>1426585664.061415</v>
      </c>
      <c r="C175" s="5" t="n">
        <v>1519385664.061415</v>
      </c>
      <c r="D175" s="5" t="n">
        <v>607754265.624566</v>
      </c>
      <c r="E175" s="5" t="n">
        <v>151938566.4061415</v>
      </c>
      <c r="F175" s="5" t="n">
        <v>101798839.4921148</v>
      </c>
      <c r="G175" s="5" t="n">
        <v>76349129.6190861</v>
      </c>
      <c r="H175" s="5" t="n">
        <v>61079303.69526888</v>
      </c>
      <c r="I175" s="5" t="n">
        <v>8679132.055974865</v>
      </c>
    </row>
    <row r="176">
      <c r="A176" s="7" t="n">
        <v>172</v>
      </c>
      <c r="B176" s="5" t="n">
        <v>1427475237.975412</v>
      </c>
      <c r="C176" s="5" t="n">
        <v>1501715237.975412</v>
      </c>
      <c r="D176" s="5" t="n">
        <v>600686095.1901649</v>
      </c>
      <c r="E176" s="5" t="n">
        <v>150171523.7975412</v>
      </c>
      <c r="F176" s="5" t="n">
        <v>100614920.9443526</v>
      </c>
      <c r="G176" s="5" t="n">
        <v>75461190.70826447</v>
      </c>
      <c r="H176" s="5" t="n">
        <v>60368952.56661158</v>
      </c>
      <c r="I176" s="5" t="n">
        <v>7811218.850377379</v>
      </c>
    </row>
    <row r="177">
      <c r="A177" s="7" t="n">
        <v>173</v>
      </c>
      <c r="B177" s="5" t="n">
        <v>1428332057.78946</v>
      </c>
      <c r="C177" s="5" t="n">
        <v>1487724057.78946</v>
      </c>
      <c r="D177" s="5" t="n">
        <v>595089623.115784</v>
      </c>
      <c r="E177" s="5" t="n">
        <v>148772405.778946</v>
      </c>
      <c r="F177" s="5" t="n">
        <v>99677511.87189384</v>
      </c>
      <c r="G177" s="5" t="n">
        <v>74758133.90392038</v>
      </c>
      <c r="H177" s="5" t="n">
        <v>59806507.12313631</v>
      </c>
      <c r="I177" s="5" t="n">
        <v>7030096.965339641</v>
      </c>
    </row>
    <row r="178">
      <c r="A178" s="7" t="n">
        <v>174</v>
      </c>
      <c r="B178" s="5" t="n">
        <v>1429157251.532408</v>
      </c>
      <c r="C178" s="5" t="n">
        <v>1476670851.532408</v>
      </c>
      <c r="D178" s="5" t="n">
        <v>590668340.6129633</v>
      </c>
      <c r="E178" s="5" t="n">
        <v>147667085.1532408</v>
      </c>
      <c r="F178" s="5" t="n">
        <v>98936947.05267136</v>
      </c>
      <c r="G178" s="5" t="n">
        <v>74202710.28950351</v>
      </c>
      <c r="H178" s="5" t="n">
        <v>59362168.23160282</v>
      </c>
      <c r="I178" s="5" t="n">
        <v>6327087.268805677</v>
      </c>
    </row>
    <row r="179">
      <c r="A179" s="7" t="n">
        <v>175</v>
      </c>
      <c r="B179" s="5" t="n">
        <v>1429951914.231791</v>
      </c>
      <c r="C179" s="5" t="n">
        <v>1467962794.231791</v>
      </c>
      <c r="D179" s="5" t="n">
        <v>587185117.6927166</v>
      </c>
      <c r="E179" s="5" t="n">
        <v>146796279.4231791</v>
      </c>
      <c r="F179" s="5" t="n">
        <v>98353507.21353003</v>
      </c>
      <c r="G179" s="5" t="n">
        <v>73765130.41014752</v>
      </c>
      <c r="H179" s="5" t="n">
        <v>59012104.32811802</v>
      </c>
      <c r="I179" s="5" t="n">
        <v>5694378.54192511</v>
      </c>
    </row>
    <row r="180">
      <c r="A180" s="7" t="n">
        <v>176</v>
      </c>
      <c r="B180" s="5" t="n">
        <v>1430717108.428946</v>
      </c>
      <c r="C180" s="5" t="n">
        <v>1461125812.428946</v>
      </c>
      <c r="D180" s="5" t="n">
        <v>584450324.9715786</v>
      </c>
      <c r="E180" s="5" t="n">
        <v>146112581.2428946</v>
      </c>
      <c r="F180" s="5" t="n">
        <v>97895429.43273942</v>
      </c>
      <c r="G180" s="5" t="n">
        <v>73421572.07455456</v>
      </c>
      <c r="H180" s="5" t="n">
        <v>58737257.65964365</v>
      </c>
      <c r="I180" s="5" t="n">
        <v>5124940.687732599</v>
      </c>
    </row>
    <row r="181">
      <c r="A181" s="7" t="n">
        <v>177</v>
      </c>
      <c r="B181" s="5" t="n">
        <v>1431453864.72489</v>
      </c>
      <c r="C181" s="5" t="n">
        <v>1431453864.72489</v>
      </c>
      <c r="D181" s="5" t="n">
        <v>572581545.8899559</v>
      </c>
      <c r="E181" s="5" t="n">
        <v>143145386.472489</v>
      </c>
      <c r="F181" s="5" t="n">
        <v>95907408.93656762</v>
      </c>
      <c r="G181" s="5" t="n">
        <v>71930556.70242572</v>
      </c>
      <c r="H181" s="5" t="n">
        <v>57544445.36194058</v>
      </c>
      <c r="I181" s="5" t="n">
        <v>4612446.618959339</v>
      </c>
    </row>
    <row r="182">
      <c r="A182" s="7" t="n">
        <v>178</v>
      </c>
      <c r="B182" s="5" t="n">
        <v>1432163182.352744</v>
      </c>
      <c r="C182" s="5" t="n">
        <v>1432163182.352744</v>
      </c>
      <c r="D182" s="5" t="n">
        <v>572865272.9410975</v>
      </c>
      <c r="E182" s="5" t="n">
        <v>143216318.2352744</v>
      </c>
      <c r="F182" s="5" t="n">
        <v>95954933.21763384</v>
      </c>
      <c r="G182" s="5" t="n">
        <v>71966199.91322538</v>
      </c>
      <c r="H182" s="5" t="n">
        <v>57572959.93058031</v>
      </c>
      <c r="I182" s="5" t="n">
        <v>4198726.238129629</v>
      </c>
    </row>
    <row r="183">
      <c r="A183" s="7" t="n">
        <v>179</v>
      </c>
      <c r="B183" s="5" t="n">
        <v>1432846029.772823</v>
      </c>
      <c r="C183" s="5" t="n">
        <v>1432846029.772823</v>
      </c>
      <c r="D183" s="5" t="n">
        <v>573138411.9091294</v>
      </c>
      <c r="E183" s="5" t="n">
        <v>143284602.9772823</v>
      </c>
      <c r="F183" s="5" t="n">
        <v>96000683.99477918</v>
      </c>
      <c r="G183" s="5" t="n">
        <v>72000512.99608439</v>
      </c>
      <c r="H183" s="5" t="n">
        <v>57600410.39686751</v>
      </c>
      <c r="I183" s="5" t="n">
        <v>3824604.391462007</v>
      </c>
    </row>
    <row r="184">
      <c r="A184" s="7" t="n">
        <v>180</v>
      </c>
      <c r="B184" s="5" t="n">
        <v>1433503345.286768</v>
      </c>
      <c r="C184" s="5" t="n">
        <v>1433503345.286768</v>
      </c>
      <c r="D184" s="5" t="n">
        <v>573401338.1147074</v>
      </c>
      <c r="E184" s="5" t="n">
        <v>143350334.5286768</v>
      </c>
      <c r="F184" s="5" t="n">
        <v>96044724.13421349</v>
      </c>
      <c r="G184" s="5" t="n">
        <v>72033543.10066012</v>
      </c>
      <c r="H184" s="5" t="n">
        <v>57626834.48052809</v>
      </c>
      <c r="I184" s="5" t="n">
        <v>3486184.091750114</v>
      </c>
    </row>
    <row r="185">
      <c r="A185" s="7" t="n">
        <v>181</v>
      </c>
      <c r="B185" s="5" t="n">
        <v>1434136037.66739</v>
      </c>
      <c r="C185" s="5" t="n">
        <v>1434136037.66739</v>
      </c>
      <c r="D185" s="5" t="n">
        <v>573654415.0669559</v>
      </c>
      <c r="E185" s="5" t="n">
        <v>143413603.766739</v>
      </c>
      <c r="F185" s="5" t="n">
        <v>96087114.52371512</v>
      </c>
      <c r="G185" s="5" t="n">
        <v>72065335.89278634</v>
      </c>
      <c r="H185" s="5" t="n">
        <v>57652268.71422908</v>
      </c>
      <c r="I185" s="5" t="n">
        <v>3179956.072076734</v>
      </c>
    </row>
    <row r="186">
      <c r="A186" s="7" t="n">
        <v>182</v>
      </c>
      <c r="B186" s="5" t="n">
        <v>1434744986.801156</v>
      </c>
      <c r="C186" s="5" t="n">
        <v>1434744986.801156</v>
      </c>
      <c r="D186" s="5" t="n">
        <v>573897994.7204623</v>
      </c>
      <c r="E186" s="5" t="n">
        <v>143474498.6801156</v>
      </c>
      <c r="F186" s="5" t="n">
        <v>96127914.11567745</v>
      </c>
      <c r="G186" s="5" t="n">
        <v>72095935.58675808</v>
      </c>
      <c r="H186" s="5" t="n">
        <v>57676748.46940646</v>
      </c>
      <c r="I186" s="5" t="n">
        <v>2902760.056831384</v>
      </c>
    </row>
    <row r="187">
      <c r="A187" s="7" t="n">
        <v>183</v>
      </c>
      <c r="B187" s="5" t="n">
        <v>1435331044.340496</v>
      </c>
      <c r="C187" s="5" t="n">
        <v>1435331044.340496</v>
      </c>
      <c r="D187" s="5" t="n">
        <v>574132417.7361984</v>
      </c>
      <c r="E187" s="5" t="n">
        <v>143533104.4340496</v>
      </c>
      <c r="F187" s="5" t="n">
        <v>96167179.97081324</v>
      </c>
      <c r="G187" s="5" t="n">
        <v>72125384.97810993</v>
      </c>
      <c r="H187" s="5" t="n">
        <v>57700307.98248795</v>
      </c>
      <c r="I187" s="5" t="n">
        <v>2651749.906284044</v>
      </c>
    </row>
    <row r="188">
      <c r="A188" s="7" t="n">
        <v>184</v>
      </c>
      <c r="B188" s="5" t="n">
        <v>1435895034.363332</v>
      </c>
      <c r="C188" s="5" t="n">
        <v>1435895034.363332</v>
      </c>
      <c r="D188" s="5" t="n">
        <v>574358013.7453327</v>
      </c>
      <c r="E188" s="5" t="n">
        <v>143589503.4363332</v>
      </c>
      <c r="F188" s="5" t="n">
        <v>96204967.30234323</v>
      </c>
      <c r="G188" s="5" t="n">
        <v>72153725.47675742</v>
      </c>
      <c r="H188" s="5" t="n">
        <v>57722980.38140594</v>
      </c>
      <c r="I188" s="5" t="n">
        <v>2424362.247185629</v>
      </c>
    </row>
    <row r="189">
      <c r="A189" s="7" t="n">
        <v>185</v>
      </c>
      <c r="B189" s="5" t="n">
        <v>1436437754.037461</v>
      </c>
      <c r="C189" s="5" t="n">
        <v>1436437754.037461</v>
      </c>
      <c r="D189" s="5" t="n">
        <v>574575101.6149844</v>
      </c>
      <c r="E189" s="5" t="n">
        <v>143643775.4037461</v>
      </c>
      <c r="F189" s="5" t="n">
        <v>96241329.5205099</v>
      </c>
      <c r="G189" s="5" t="n">
        <v>72180997.14038242</v>
      </c>
      <c r="H189" s="5" t="n">
        <v>57744797.71230594</v>
      </c>
      <c r="I189" s="5" t="n">
        <v>2218288.240633731</v>
      </c>
    </row>
    <row r="190">
      <c r="A190" s="7" t="n">
        <v>186</v>
      </c>
      <c r="B190" s="5" t="n">
        <v>1436959974.287643</v>
      </c>
      <c r="C190" s="5" t="n">
        <v>1436959974.287643</v>
      </c>
      <c r="D190" s="5" t="n">
        <v>574783989.7150573</v>
      </c>
      <c r="E190" s="5" t="n">
        <v>143695997.4287643</v>
      </c>
      <c r="F190" s="5" t="n">
        <v>96276318.27727209</v>
      </c>
      <c r="G190" s="5" t="n">
        <v>72207238.70795406</v>
      </c>
      <c r="H190" s="5" t="n">
        <v>57765790.96636325</v>
      </c>
      <c r="I190" s="5" t="n">
        <v>2031448.173332549</v>
      </c>
    </row>
    <row r="191">
      <c r="A191" s="7" t="n">
        <v>187</v>
      </c>
      <c r="B191" s="5" t="n">
        <v>1437462440.463411</v>
      </c>
      <c r="C191" s="5" t="n">
        <v>1437462440.463411</v>
      </c>
      <c r="D191" s="5" t="n">
        <v>574984976.1853644</v>
      </c>
      <c r="E191" s="5" t="n">
        <v>143746244.0463411</v>
      </c>
      <c r="F191" s="5" t="n">
        <v>96309983.51104854</v>
      </c>
      <c r="G191" s="5" t="n">
        <v>72232487.6332864</v>
      </c>
      <c r="H191" s="5" t="n">
        <v>57785990.10662913</v>
      </c>
      <c r="I191" s="5" t="n">
        <v>1861968.589775745</v>
      </c>
    </row>
    <row r="192">
      <c r="A192" s="7" t="n">
        <v>188</v>
      </c>
      <c r="B192" s="5" t="n">
        <v>1437945873.005836</v>
      </c>
      <c r="C192" s="5" t="n">
        <v>1437945873.005836</v>
      </c>
      <c r="D192" s="5" t="n">
        <v>575178349.2023344</v>
      </c>
      <c r="E192" s="5" t="n">
        <v>143794587.3005836</v>
      </c>
      <c r="F192" s="5" t="n">
        <v>96342373.49139102</v>
      </c>
      <c r="G192" s="5" t="n">
        <v>72256780.11854327</v>
      </c>
      <c r="H192" s="5" t="n">
        <v>57805424.09483462</v>
      </c>
      <c r="I192" s="5" t="n">
        <v>1708161.711140648</v>
      </c>
    </row>
    <row r="193">
      <c r="A193" s="7" t="n">
        <v>189</v>
      </c>
      <c r="B193" s="5" t="n">
        <v>1438410968.111628</v>
      </c>
      <c r="C193" s="5" t="n">
        <v>1438410968.111628</v>
      </c>
      <c r="D193" s="5" t="n">
        <v>575364387.2446512</v>
      </c>
      <c r="E193" s="5" t="n">
        <v>143841096.8111628</v>
      </c>
      <c r="F193" s="5" t="n">
        <v>96373534.86347908</v>
      </c>
      <c r="G193" s="5" t="n">
        <v>72280151.14760931</v>
      </c>
      <c r="H193" s="5" t="n">
        <v>57824120.91808745</v>
      </c>
      <c r="I193" s="5" t="n">
        <v>1568506.912114643</v>
      </c>
    </row>
    <row r="194">
      <c r="A194" s="7" t="n">
        <v>190</v>
      </c>
      <c r="B194" s="5" t="n">
        <v>1438858398.393129</v>
      </c>
      <c r="C194" s="5" t="n">
        <v>1438858398.393129</v>
      </c>
      <c r="D194" s="5" t="n">
        <v>575543359.3572515</v>
      </c>
      <c r="E194" s="5" t="n">
        <v>143885839.8393129</v>
      </c>
      <c r="F194" s="5" t="n">
        <v>96403512.69233963</v>
      </c>
      <c r="G194" s="5" t="n">
        <v>72302634.51925471</v>
      </c>
      <c r="H194" s="5" t="n">
        <v>57842107.61540377</v>
      </c>
      <c r="I194" s="5" t="n">
        <v>1441634.04976373</v>
      </c>
    </row>
    <row r="195">
      <c r="A195" s="7" t="n">
        <v>191</v>
      </c>
      <c r="B195" s="5" t="n">
        <v>1439288813.532896</v>
      </c>
      <c r="C195" s="5" t="n">
        <v>1439288813.532896</v>
      </c>
      <c r="D195" s="5" t="n">
        <v>575715525.4131583</v>
      </c>
      <c r="E195" s="5" t="n">
        <v>143928881.3532896</v>
      </c>
      <c r="F195" s="5" t="n">
        <v>96432350.50670402</v>
      </c>
      <c r="G195" s="5" t="n">
        <v>72324262.88002801</v>
      </c>
      <c r="H195" s="5" t="n">
        <v>57859410.30402241</v>
      </c>
      <c r="I195" s="5" t="n">
        <v>1326308.459151745</v>
      </c>
    </row>
    <row r="196">
      <c r="A196" s="7" t="n">
        <v>192</v>
      </c>
      <c r="B196" s="5" t="n">
        <v>1439702840.931713</v>
      </c>
      <c r="C196" s="5" t="n">
        <v>1439702840.931713</v>
      </c>
      <c r="D196" s="5" t="n">
        <v>575881136.3726853</v>
      </c>
      <c r="E196" s="5" t="n">
        <v>143970284.0931713</v>
      </c>
      <c r="F196" s="5" t="n">
        <v>96460090.3424248</v>
      </c>
      <c r="G196" s="5" t="n">
        <v>72345067.75681859</v>
      </c>
      <c r="H196" s="5" t="n">
        <v>57876054.20545488</v>
      </c>
      <c r="I196" s="5" t="n">
        <v>1221417.448957348</v>
      </c>
    </row>
    <row r="197">
      <c r="A197" s="7" t="n">
        <v>193</v>
      </c>
      <c r="B197" s="5" t="n">
        <v>1440101086.349009</v>
      </c>
      <c r="C197" s="5" t="n">
        <v>1440101086.349009</v>
      </c>
      <c r="D197" s="5" t="n">
        <v>576040434.5396035</v>
      </c>
      <c r="E197" s="5" t="n">
        <v>144010108.6349009</v>
      </c>
      <c r="F197" s="5" t="n">
        <v>96486772.78538358</v>
      </c>
      <c r="G197" s="5" t="n">
        <v>72365079.58903769</v>
      </c>
      <c r="H197" s="5" t="n">
        <v>57892063.67123015</v>
      </c>
      <c r="I197" s="5" t="n">
        <v>1125958.147020401</v>
      </c>
    </row>
    <row r="198">
      <c r="A198" s="7" t="n">
        <v>194</v>
      </c>
      <c r="B198" s="5" t="n">
        <v>1440484134.534757</v>
      </c>
      <c r="C198" s="5" t="n">
        <v>1440484134.534757</v>
      </c>
      <c r="D198" s="5" t="n">
        <v>576193653.8139027</v>
      </c>
      <c r="E198" s="5" t="n">
        <v>144048413.4534757</v>
      </c>
      <c r="F198" s="5" t="n">
        <v>96512437.01382871</v>
      </c>
      <c r="G198" s="5" t="n">
        <v>72384327.76037154</v>
      </c>
      <c r="H198" s="5" t="n">
        <v>57907462.20829723</v>
      </c>
      <c r="I198" s="5" t="n">
        <v>1039026.560763488</v>
      </c>
    </row>
    <row r="199">
      <c r="A199" s="7" t="n">
        <v>195</v>
      </c>
      <c r="B199" s="5" t="n">
        <v>1440852549.852074</v>
      </c>
      <c r="C199" s="5" t="n">
        <v>1440852549.852074</v>
      </c>
      <c r="D199" s="5" t="n">
        <v>576341019.9408296</v>
      </c>
      <c r="E199" s="5" t="n">
        <v>144085254.9852074</v>
      </c>
      <c r="F199" s="5" t="n">
        <v>96537120.84008896</v>
      </c>
      <c r="G199" s="5" t="n">
        <v>72402840.63006672</v>
      </c>
      <c r="H199" s="5" t="n">
        <v>57922272.50405338</v>
      </c>
      <c r="I199" s="5" t="n">
        <v>959807.7309473931</v>
      </c>
    </row>
    <row r="200">
      <c r="A200" s="7" t="n">
        <v>196</v>
      </c>
      <c r="B200" s="5" t="n">
        <v>1441206876.889813</v>
      </c>
      <c r="C200" s="5" t="n">
        <v>1441206876.889813</v>
      </c>
      <c r="D200" s="5" t="n">
        <v>576482750.7559254</v>
      </c>
      <c r="E200" s="5" t="n">
        <v>144120687.6889814</v>
      </c>
      <c r="F200" s="5" t="n">
        <v>96560860.75161751</v>
      </c>
      <c r="G200" s="5" t="n">
        <v>72420645.56371313</v>
      </c>
      <c r="H200" s="5" t="n">
        <v>57936516.45097051</v>
      </c>
      <c r="I200" s="5" t="n">
        <v>887566.8693811964</v>
      </c>
    </row>
    <row r="201">
      <c r="A201" s="7" t="n">
        <v>197</v>
      </c>
      <c r="B201" s="5" t="n">
        <v>1441547641.06455</v>
      </c>
      <c r="C201" s="5" t="n">
        <v>1441547641.06455</v>
      </c>
      <c r="D201" s="5" t="n">
        <v>576619056.4258201</v>
      </c>
      <c r="E201" s="5" t="n">
        <v>144154764.106455</v>
      </c>
      <c r="F201" s="5" t="n">
        <v>96583691.95132488</v>
      </c>
      <c r="G201" s="5" t="n">
        <v>72437768.96349366</v>
      </c>
      <c r="H201" s="5" t="n">
        <v>57950215.17079493</v>
      </c>
      <c r="I201" s="5" t="n">
        <v>821641.3821504508</v>
      </c>
    </row>
    <row r="202">
      <c r="A202" s="7" t="n">
        <v>198</v>
      </c>
      <c r="B202" s="5" t="n">
        <v>1441875349.211453</v>
      </c>
      <c r="C202" s="5" t="n">
        <v>1441875349.211453</v>
      </c>
      <c r="D202" s="5" t="n">
        <v>576750139.6845814</v>
      </c>
      <c r="E202" s="5" t="n">
        <v>144187534.9211453</v>
      </c>
      <c r="F202" s="5" t="n">
        <v>96605648.39716738</v>
      </c>
      <c r="G202" s="5" t="n">
        <v>72454236.29787554</v>
      </c>
      <c r="H202" s="5" t="n">
        <v>57963389.03830043</v>
      </c>
      <c r="I202" s="5" t="n">
        <v>761433.6897779102</v>
      </c>
    </row>
    <row r="203">
      <c r="A203" s="7" t="n">
        <v>199</v>
      </c>
      <c r="B203" s="5" t="n">
        <v>1442190490.163609</v>
      </c>
      <c r="C203" s="5" t="n">
        <v>1442190490.163609</v>
      </c>
      <c r="D203" s="5" t="n">
        <v>576876196.0654436</v>
      </c>
      <c r="E203" s="5" t="n">
        <v>144219049.0163609</v>
      </c>
      <c r="F203" s="5" t="n">
        <v>96626762.84096181</v>
      </c>
      <c r="G203" s="5" t="n">
        <v>72470072.13072136</v>
      </c>
      <c r="H203" s="5" t="n">
        <v>57976057.70457709</v>
      </c>
      <c r="I203" s="5" t="n">
        <v>706404.7645945485</v>
      </c>
    </row>
    <row r="204">
      <c r="A204" s="7" t="n">
        <v>200</v>
      </c>
      <c r="B204" s="5" t="n">
        <v>1442493535.31943</v>
      </c>
      <c r="C204" s="5" t="n">
        <v>1442493535.31943</v>
      </c>
      <c r="D204" s="5" t="n">
        <v>576997414.127772</v>
      </c>
      <c r="E204" s="5" t="n">
        <v>144249353.531943</v>
      </c>
      <c r="F204" s="5" t="n">
        <v>96647066.86640181</v>
      </c>
      <c r="G204" s="5" t="n">
        <v>72485300.14980136</v>
      </c>
      <c r="H204" s="5" t="n">
        <v>57988240.11984109</v>
      </c>
      <c r="I204" s="5" t="n">
        <v>656068.3135750862</v>
      </c>
    </row>
    <row r="205">
      <c r="A205" s="7" t="n">
        <v>201</v>
      </c>
      <c r="B205" s="5" t="n">
        <v>1442784939.197871</v>
      </c>
      <c r="C205" s="5" t="n">
        <v>1442784939.197871</v>
      </c>
      <c r="D205" s="5" t="n">
        <v>577113975.6791486</v>
      </c>
      <c r="E205" s="5" t="n">
        <v>144278493.9197871</v>
      </c>
      <c r="F205" s="5" t="n">
        <v>96666590.92625739</v>
      </c>
      <c r="G205" s="5" t="n">
        <v>72499943.19469304</v>
      </c>
      <c r="H205" s="5" t="n">
        <v>57999954.55575444</v>
      </c>
      <c r="I205" s="5" t="n">
        <v>609985.542073158</v>
      </c>
    </row>
    <row r="206">
      <c r="A206" s="7" t="n">
        <v>202</v>
      </c>
      <c r="B206" s="5" t="n">
        <v>1443065139.981216</v>
      </c>
      <c r="C206" s="5" t="n">
        <v>1443065139.981216</v>
      </c>
      <c r="D206" s="5" t="n">
        <v>577226055.9924864</v>
      </c>
      <c r="E206" s="5" t="n">
        <v>144306513.9981216</v>
      </c>
      <c r="F206" s="5" t="n">
        <v>96685364.37874147</v>
      </c>
      <c r="G206" s="5" t="n">
        <v>72514023.2840561</v>
      </c>
      <c r="H206" s="5" t="n">
        <v>58011218.62724488</v>
      </c>
      <c r="I206" s="5" t="n">
        <v>567760.4403499283</v>
      </c>
    </row>
    <row r="207">
      <c r="A207" s="7" t="n">
        <v>203</v>
      </c>
      <c r="B207" s="5" t="n">
        <v>1443334560.045258</v>
      </c>
      <c r="C207" s="5" t="n">
        <v>1443334560.045258</v>
      </c>
      <c r="D207" s="5" t="n">
        <v>577333824.0181032</v>
      </c>
      <c r="E207" s="5" t="n">
        <v>144333456.0045258</v>
      </c>
      <c r="F207" s="5" t="n">
        <v>96703415.52303229</v>
      </c>
      <c r="G207" s="5" t="n">
        <v>72527561.64227422</v>
      </c>
      <c r="H207" s="5" t="n">
        <v>58022049.31381938</v>
      </c>
      <c r="I207" s="5" t="n">
        <v>529035.5406057553</v>
      </c>
    </row>
    <row r="208">
      <c r="A208" s="7" t="n">
        <v>204</v>
      </c>
      <c r="B208" s="5" t="n">
        <v>1443593606.476764</v>
      </c>
      <c r="C208" s="5" t="n">
        <v>1443593606.476764</v>
      </c>
      <c r="D208" s="5" t="n">
        <v>577437442.5907058</v>
      </c>
      <c r="E208" s="5" t="n">
        <v>144359360.6476764</v>
      </c>
      <c r="F208" s="5" t="n">
        <v>96720771.63394322</v>
      </c>
      <c r="G208" s="5" t="n">
        <v>72540578.72545741</v>
      </c>
      <c r="H208" s="5" t="n">
        <v>58032462.98036593</v>
      </c>
      <c r="I208" s="5" t="n">
        <v>493488.0974561021</v>
      </c>
    </row>
    <row r="209">
      <c r="A209" s="7" t="n">
        <v>205</v>
      </c>
      <c r="B209" s="5" t="n">
        <v>1443842671.578139</v>
      </c>
      <c r="C209" s="5" t="n">
        <v>1443842671.578139</v>
      </c>
      <c r="D209" s="5" t="n">
        <v>577537068.6312555</v>
      </c>
      <c r="E209" s="5" t="n">
        <v>144384267.1578139</v>
      </c>
      <c r="F209" s="5" t="n">
        <v>96737458.9957353</v>
      </c>
      <c r="G209" s="5" t="n">
        <v>72553094.24680148</v>
      </c>
      <c r="H209" s="5" t="n">
        <v>58042475.39744119</v>
      </c>
      <c r="I209" s="5" t="n">
        <v>460826.6495025794</v>
      </c>
    </row>
    <row r="210">
      <c r="A210" s="7" t="n">
        <v>206</v>
      </c>
      <c r="B210" s="5" t="n">
        <v>1444082133.359254</v>
      </c>
      <c r="C210" s="5" t="n">
        <v>1444082133.359254</v>
      </c>
      <c r="D210" s="5" t="n">
        <v>577632853.3437016</v>
      </c>
      <c r="E210" s="5" t="n">
        <v>144408213.3359254</v>
      </c>
      <c r="F210" s="5" t="n">
        <v>96753502.93507002</v>
      </c>
      <c r="G210" s="5" t="n">
        <v>72565127.20130251</v>
      </c>
      <c r="H210" s="5" t="n">
        <v>58052101.76104201</v>
      </c>
      <c r="I210" s="5" t="n">
        <v>430787.9238870419</v>
      </c>
    </row>
    <row r="211">
      <c r="A211" s="7" t="n">
        <v>207</v>
      </c>
      <c r="B211" s="5" t="n">
        <v>1444312356.016459</v>
      </c>
      <c r="C211" s="5" t="n">
        <v>1444312356.016459</v>
      </c>
      <c r="D211" s="5" t="n">
        <v>577724942.4065834</v>
      </c>
      <c r="E211" s="5" t="n">
        <v>144431235.6016459</v>
      </c>
      <c r="F211" s="5" t="n">
        <v>96768927.85310273</v>
      </c>
      <c r="G211" s="5" t="n">
        <v>72576695.88982704</v>
      </c>
      <c r="H211" s="5" t="n">
        <v>58061356.71186164</v>
      </c>
      <c r="I211" s="5" t="n">
        <v>403134.0495310434</v>
      </c>
    </row>
    <row r="212">
      <c r="A212" s="7" t="n">
        <v>208</v>
      </c>
      <c r="B212" s="5" t="n">
        <v>1444533690.398797</v>
      </c>
      <c r="C212" s="5" t="n">
        <v>1444533690.398797</v>
      </c>
      <c r="D212" s="5" t="n">
        <v>577813476.1595186</v>
      </c>
      <c r="E212" s="5" t="n">
        <v>144453369.0398796</v>
      </c>
      <c r="F212" s="5" t="n">
        <v>96783757.25671937</v>
      </c>
      <c r="G212" s="5" t="n">
        <v>72587817.94253953</v>
      </c>
      <c r="H212" s="5" t="n">
        <v>58070254.35403162</v>
      </c>
      <c r="I212" s="5" t="n">
        <v>377650.0481945761</v>
      </c>
    </row>
    <row r="213">
      <c r="A213" s="7" t="n">
        <v>209</v>
      </c>
      <c r="B213" s="5" t="n">
        <v>1444746474.46151</v>
      </c>
      <c r="C213" s="5" t="n">
        <v>1444746474.46151</v>
      </c>
      <c r="D213" s="5" t="n">
        <v>577898589.784604</v>
      </c>
      <c r="E213" s="5" t="n">
        <v>144474647.446151</v>
      </c>
      <c r="F213" s="5" t="n">
        <v>96798013.78892116</v>
      </c>
      <c r="G213" s="5" t="n">
        <v>72598510.34169087</v>
      </c>
      <c r="H213" s="5" t="n">
        <v>58078808.2733527</v>
      </c>
      <c r="I213" s="5" t="n">
        <v>354141.5755769153</v>
      </c>
    </row>
    <row r="214">
      <c r="A214" s="7" t="n">
        <v>210</v>
      </c>
      <c r="B214" s="5" t="n">
        <v>1444951033.706919</v>
      </c>
      <c r="C214" s="5" t="n">
        <v>1444951033.706919</v>
      </c>
      <c r="D214" s="5" t="n">
        <v>577980413.4827675</v>
      </c>
      <c r="E214" s="5" t="n">
        <v>144495103.3706919</v>
      </c>
      <c r="F214" s="5" t="n">
        <v>96811719.25836356</v>
      </c>
      <c r="G214" s="5" t="n">
        <v>72608789.44377267</v>
      </c>
      <c r="H214" s="5" t="n">
        <v>58087031.55501814</v>
      </c>
      <c r="I214" s="5" t="n">
        <v>332432.8874616211</v>
      </c>
    </row>
    <row r="215">
      <c r="A215" s="7" t="n">
        <v>211</v>
      </c>
      <c r="B215" s="5" t="n">
        <v>1445147681.612806</v>
      </c>
      <c r="C215" s="5" t="n">
        <v>1445147681.612806</v>
      </c>
      <c r="D215" s="5" t="n">
        <v>578059072.6451225</v>
      </c>
      <c r="E215" s="5" t="n">
        <v>144514768.1612806</v>
      </c>
      <c r="F215" s="5" t="n">
        <v>96824894.66805802</v>
      </c>
      <c r="G215" s="5" t="n">
        <v>72618671.00104351</v>
      </c>
      <c r="H215" s="5" t="n">
        <v>58094936.80083481</v>
      </c>
      <c r="I215" s="5" t="n">
        <v>312365.0084099221</v>
      </c>
    </row>
    <row r="216">
      <c r="A216" s="7" t="n">
        <v>212</v>
      </c>
      <c r="B216" s="5" t="n">
        <v>1445336720.048441</v>
      </c>
      <c r="C216" s="5" t="n">
        <v>1445336720.048441</v>
      </c>
      <c r="D216" s="5" t="n">
        <v>578134688.0193763</v>
      </c>
      <c r="E216" s="5" t="n">
        <v>144533672.0048441</v>
      </c>
      <c r="F216" s="5" t="n">
        <v>96837560.24324553</v>
      </c>
      <c r="G216" s="5" t="n">
        <v>72628170.18243414</v>
      </c>
      <c r="H216" s="5" t="n">
        <v>58102536.14594731</v>
      </c>
      <c r="I216" s="5" t="n">
        <v>293794.0827564342</v>
      </c>
    </row>
    <row r="217">
      <c r="A217" s="7" t="n">
        <v>213</v>
      </c>
      <c r="B217" s="5" t="n">
        <v>1445518439.678408</v>
      </c>
      <c r="C217" s="5" t="n">
        <v>1445518439.678408</v>
      </c>
      <c r="D217" s="5" t="n">
        <v>578207375.8713634</v>
      </c>
      <c r="E217" s="5" t="n">
        <v>144551843.9678409</v>
      </c>
      <c r="F217" s="5" t="n">
        <v>96849735.45845337</v>
      </c>
      <c r="G217" s="5" t="n">
        <v>72637301.59384003</v>
      </c>
      <c r="H217" s="5" t="n">
        <v>58109841.27507203</v>
      </c>
      <c r="I217" s="5" t="n">
        <v>276589.8896886357</v>
      </c>
    </row>
    <row r="218">
      <c r="A218" s="7" t="n">
        <v>214</v>
      </c>
      <c r="B218" s="5" t="n">
        <v>1445693120.354423</v>
      </c>
      <c r="C218" s="5" t="n">
        <v>1445693120.354423</v>
      </c>
      <c r="D218" s="5" t="n">
        <v>578277248.1417692</v>
      </c>
      <c r="E218" s="5" t="n">
        <v>144569312.0354423</v>
      </c>
      <c r="F218" s="5" t="n">
        <v>96861439.06374635</v>
      </c>
      <c r="G218" s="5" t="n">
        <v>72646079.29780976</v>
      </c>
      <c r="H218" s="5" t="n">
        <v>58116863.43824781</v>
      </c>
      <c r="I218" s="5" t="n">
        <v>260634.5060127481</v>
      </c>
    </row>
    <row r="219">
      <c r="A219" s="7" t="n">
        <v>215</v>
      </c>
      <c r="B219" s="5" t="n">
        <v>1445861031.495315</v>
      </c>
      <c r="C219" s="5" t="n">
        <v>1445861031.495315</v>
      </c>
      <c r="D219" s="5" t="n">
        <v>578344412.5981258</v>
      </c>
      <c r="E219" s="5" t="n">
        <v>144586103.1495315</v>
      </c>
      <c r="F219" s="5" t="n">
        <v>96872689.11018609</v>
      </c>
      <c r="G219" s="5" t="n">
        <v>72654516.83263956</v>
      </c>
      <c r="H219" s="5" t="n">
        <v>58123613.46611165</v>
      </c>
      <c r="I219" s="5" t="n">
        <v>245821.1018512103</v>
      </c>
    </row>
    <row r="220">
      <c r="A220" s="7" t="n">
        <v>216</v>
      </c>
      <c r="B220" s="5" t="n">
        <v>1446022432.455396</v>
      </c>
      <c r="C220" s="5" t="n">
        <v>1446022432.455396</v>
      </c>
      <c r="D220" s="5" t="n">
        <v>578408972.9821584</v>
      </c>
      <c r="E220" s="5" t="n">
        <v>144602243.2455396</v>
      </c>
      <c r="F220" s="5" t="n">
        <v>96883502.97451155</v>
      </c>
      <c r="G220" s="5" t="n">
        <v>72662627.23088366</v>
      </c>
      <c r="H220" s="5" t="n">
        <v>58130101.78470693</v>
      </c>
      <c r="I220" s="5" t="n">
        <v>232052.8559915531</v>
      </c>
    </row>
    <row r="221">
      <c r="A221" s="7" t="n">
        <v>217</v>
      </c>
      <c r="B221" s="5" t="n">
        <v>1446177572.881423</v>
      </c>
      <c r="C221" s="5" t="n">
        <v>1446177572.881423</v>
      </c>
      <c r="D221" s="5" t="n">
        <v>578471029.1525691</v>
      </c>
      <c r="E221" s="5" t="n">
        <v>144617757.2881423</v>
      </c>
      <c r="F221" s="5" t="n">
        <v>96893897.38305533</v>
      </c>
      <c r="G221" s="5" t="n">
        <v>72670423.0372915</v>
      </c>
      <c r="H221" s="5" t="n">
        <v>58136338.4298332</v>
      </c>
      <c r="I221" s="5" t="n">
        <v>219241.9789361782</v>
      </c>
    </row>
    <row r="222">
      <c r="A222" s="7" t="n">
        <v>218</v>
      </c>
      <c r="B222" s="5" t="n">
        <v>1446326693.058372</v>
      </c>
      <c r="C222" s="5" t="n">
        <v>1446326693.058372</v>
      </c>
      <c r="D222" s="5" t="n">
        <v>578530677.2233486</v>
      </c>
      <c r="E222" s="5" t="n">
        <v>144632669.3058372</v>
      </c>
      <c r="F222" s="5" t="n">
        <v>96903888.43491089</v>
      </c>
      <c r="G222" s="5" t="n">
        <v>72677916.32618317</v>
      </c>
      <c r="H222" s="5" t="n">
        <v>58142333.06094654</v>
      </c>
      <c r="I222" s="5" t="n">
        <v>207308.8328981245</v>
      </c>
    </row>
    <row r="223">
      <c r="A223" s="7" t="n">
        <v>219</v>
      </c>
      <c r="B223" s="5" t="n">
        <v>1446470024.24427</v>
      </c>
      <c r="C223" s="5" t="n">
        <v>1446470024.24427</v>
      </c>
      <c r="D223" s="5" t="n">
        <v>578588009.6977081</v>
      </c>
      <c r="E223" s="5" t="n">
        <v>144647002.424427</v>
      </c>
      <c r="F223" s="5" t="n">
        <v>96913491.62436612</v>
      </c>
      <c r="G223" s="5" t="n">
        <v>72685118.71827459</v>
      </c>
      <c r="H223" s="5" t="n">
        <v>58148094.97461968</v>
      </c>
      <c r="I223" s="5" t="n">
        <v>196181.1390635381</v>
      </c>
    </row>
    <row r="224">
      <c r="A224" s="7" t="n">
        <v>220</v>
      </c>
      <c r="B224" s="5" t="n">
        <v>1446607788.994311</v>
      </c>
      <c r="C224" s="5" t="n">
        <v>1446607788.994311</v>
      </c>
      <c r="D224" s="5" t="n">
        <v>578643115.5977246</v>
      </c>
      <c r="E224" s="5" t="n">
        <v>144660778.8994311</v>
      </c>
      <c r="F224" s="5" t="n">
        <v>96922721.86261886</v>
      </c>
      <c r="G224" s="5" t="n">
        <v>72692041.39696415</v>
      </c>
      <c r="H224" s="5" t="n">
        <v>58153633.11757132</v>
      </c>
      <c r="I224" s="5" t="n">
        <v>185793.2634099284</v>
      </c>
    </row>
    <row r="225">
      <c r="A225" s="7" t="n">
        <v>221</v>
      </c>
      <c r="B225" s="5" t="n">
        <v>1446740201.474495</v>
      </c>
      <c r="C225" s="5" t="n">
        <v>1591740201.474495</v>
      </c>
      <c r="D225" s="5" t="n">
        <v>636696080.589798</v>
      </c>
      <c r="E225" s="5" t="n">
        <v>159174020.1474495</v>
      </c>
      <c r="F225" s="5" t="n">
        <v>106646593.4987912</v>
      </c>
      <c r="G225" s="5" t="n">
        <v>79984945.12409338</v>
      </c>
      <c r="H225" s="5" t="n">
        <v>63987956.09927471</v>
      </c>
      <c r="I225" s="5" t="n">
        <v>9891085.573241245</v>
      </c>
    </row>
    <row r="226">
      <c r="A226" s="7" t="n">
        <v>222</v>
      </c>
      <c r="B226" s="5" t="n">
        <v>1446867467.765042</v>
      </c>
      <c r="C226" s="5" t="n">
        <v>1562867467.765042</v>
      </c>
      <c r="D226" s="5" t="n">
        <v>625146987.106017</v>
      </c>
      <c r="E226" s="5" t="n">
        <v>156286746.7765042</v>
      </c>
      <c r="F226" s="5" t="n">
        <v>104712120.3402579</v>
      </c>
      <c r="G226" s="5" t="n">
        <v>78534090.25519338</v>
      </c>
      <c r="H226" s="5" t="n">
        <v>62827272.20415471</v>
      </c>
      <c r="I226" s="5" t="n">
        <v>8901977.015917121</v>
      </c>
    </row>
    <row r="227">
      <c r="A227" s="7" t="n">
        <v>223</v>
      </c>
      <c r="B227" s="5" t="n">
        <v>1446989786.153835</v>
      </c>
      <c r="C227" s="5" t="n">
        <v>1539789786.153835</v>
      </c>
      <c r="D227" s="5" t="n">
        <v>615915914.4615341</v>
      </c>
      <c r="E227" s="5" t="n">
        <v>153978978.6153835</v>
      </c>
      <c r="F227" s="5" t="n">
        <v>103165915.672307</v>
      </c>
      <c r="G227" s="5" t="n">
        <v>77374436.75423023</v>
      </c>
      <c r="H227" s="5" t="n">
        <v>61899549.40338419</v>
      </c>
      <c r="I227" s="5" t="n">
        <v>8011779.314325409</v>
      </c>
    </row>
    <row r="228">
      <c r="A228" s="7" t="n">
        <v>224</v>
      </c>
      <c r="B228" s="5" t="n">
        <v>1447107347.420118</v>
      </c>
      <c r="C228" s="5" t="n">
        <v>1521347347.420118</v>
      </c>
      <c r="D228" s="5" t="n">
        <v>608538938.9680474</v>
      </c>
      <c r="E228" s="5" t="n">
        <v>152134734.7420118</v>
      </c>
      <c r="F228" s="5" t="n">
        <v>101930272.2771479</v>
      </c>
      <c r="G228" s="5" t="n">
        <v>76447704.20786096</v>
      </c>
      <c r="H228" s="5" t="n">
        <v>61158163.36628877</v>
      </c>
      <c r="I228" s="5" t="n">
        <v>7210601.382892868</v>
      </c>
    </row>
    <row r="229">
      <c r="A229" s="7" t="n">
        <v>225</v>
      </c>
      <c r="B229" s="5" t="n">
        <v>1447220335.108724</v>
      </c>
      <c r="C229" s="5" t="n">
        <v>1506612335.108724</v>
      </c>
      <c r="D229" s="5" t="n">
        <v>602644934.0434896</v>
      </c>
      <c r="E229" s="5" t="n">
        <v>150661233.5108724</v>
      </c>
      <c r="F229" s="5" t="n">
        <v>100943026.4522845</v>
      </c>
      <c r="G229" s="5" t="n">
        <v>75707269.83921339</v>
      </c>
      <c r="H229" s="5" t="n">
        <v>60565815.87137071</v>
      </c>
      <c r="I229" s="5" t="n">
        <v>6489541.244603582</v>
      </c>
    </row>
    <row r="230">
      <c r="A230" s="7" t="n">
        <v>226</v>
      </c>
      <c r="B230" s="5" t="n">
        <v>1447328925.795065</v>
      </c>
      <c r="C230" s="5" t="n">
        <v>1494842525.795065</v>
      </c>
      <c r="D230" s="5" t="n">
        <v>597937010.3180259</v>
      </c>
      <c r="E230" s="5" t="n">
        <v>149484252.5795065</v>
      </c>
      <c r="F230" s="5" t="n">
        <v>100154449.2282694</v>
      </c>
      <c r="G230" s="5" t="n">
        <v>75115836.92120202</v>
      </c>
      <c r="H230" s="5" t="n">
        <v>60092669.53696162</v>
      </c>
      <c r="I230" s="5" t="n">
        <v>5840587.120143224</v>
      </c>
    </row>
    <row r="231">
      <c r="A231" s="7" t="n">
        <v>227</v>
      </c>
      <c r="B231" s="5" t="n">
        <v>1447433289.341143</v>
      </c>
      <c r="C231" s="5" t="n">
        <v>1485444169.341143</v>
      </c>
      <c r="D231" s="5" t="n">
        <v>594177667.7364572</v>
      </c>
      <c r="E231" s="5" t="n">
        <v>148544416.9341143</v>
      </c>
      <c r="F231" s="5" t="n">
        <v>99524759.34585659</v>
      </c>
      <c r="G231" s="5" t="n">
        <v>74643569.50939244</v>
      </c>
      <c r="H231" s="5" t="n">
        <v>59714855.60751396</v>
      </c>
      <c r="I231" s="5" t="n">
        <v>5256528.408128901</v>
      </c>
    </row>
    <row r="232">
      <c r="A232" s="7" t="n">
        <v>228</v>
      </c>
      <c r="B232" s="5" t="n">
        <v>1447533589.142825</v>
      </c>
      <c r="C232" s="5" t="n">
        <v>1477942293.142825</v>
      </c>
      <c r="D232" s="5" t="n">
        <v>591176917.2571299</v>
      </c>
      <c r="E232" s="5" t="n">
        <v>147794229.3142825</v>
      </c>
      <c r="F232" s="5" t="n">
        <v>99022133.64056927</v>
      </c>
      <c r="G232" s="5" t="n">
        <v>74266600.23042695</v>
      </c>
      <c r="H232" s="5" t="n">
        <v>59413280.18434156</v>
      </c>
      <c r="I232" s="5" t="n">
        <v>4730875.567316012</v>
      </c>
    </row>
    <row r="233">
      <c r="A233" s="7" t="n">
        <v>229</v>
      </c>
      <c r="B233" s="5" t="n">
        <v>1447629982.368621</v>
      </c>
      <c r="C233" s="5" t="n">
        <v>1447629982.368621</v>
      </c>
      <c r="D233" s="5" t="n">
        <v>579051992.9474483</v>
      </c>
      <c r="E233" s="5" t="n">
        <v>144762998.2368621</v>
      </c>
      <c r="F233" s="5" t="n">
        <v>96991208.81869759</v>
      </c>
      <c r="G233" s="5" t="n">
        <v>72743406.61402319</v>
      </c>
      <c r="H233" s="5" t="n">
        <v>58194725.29121856</v>
      </c>
      <c r="I233" s="5" t="n">
        <v>4257788.01058441</v>
      </c>
    </row>
    <row r="234">
      <c r="A234" s="7" t="n">
        <v>230</v>
      </c>
      <c r="B234" s="5" t="n">
        <v>1447722620.190222</v>
      </c>
      <c r="C234" s="5" t="n">
        <v>1447722620.190222</v>
      </c>
      <c r="D234" s="5" t="n">
        <v>579089048.0760889</v>
      </c>
      <c r="E234" s="5" t="n">
        <v>144772262.0190222</v>
      </c>
      <c r="F234" s="5" t="n">
        <v>96997415.5527449</v>
      </c>
      <c r="G234" s="5" t="n">
        <v>72748061.66455868</v>
      </c>
      <c r="H234" s="5" t="n">
        <v>58198449.33164695</v>
      </c>
      <c r="I234" s="5" t="n">
        <v>3838215.943573278</v>
      </c>
    </row>
    <row r="235">
      <c r="A235" s="7" t="n">
        <v>231</v>
      </c>
      <c r="B235" s="5" t="n">
        <v>1447811648.005029</v>
      </c>
      <c r="C235" s="5" t="n">
        <v>1447811648.005029</v>
      </c>
      <c r="D235" s="5" t="n">
        <v>579124659.2020117</v>
      </c>
      <c r="E235" s="5" t="n">
        <v>144781164.8005029</v>
      </c>
      <c r="F235" s="5" t="n">
        <v>97003380.41633697</v>
      </c>
      <c r="G235" s="5" t="n">
        <v>72752535.31225273</v>
      </c>
      <c r="H235" s="5" t="n">
        <v>58202028.24980219</v>
      </c>
      <c r="I235" s="5" t="n">
        <v>3460359.212808024</v>
      </c>
    </row>
    <row r="236">
      <c r="A236" s="7" t="n">
        <v>232</v>
      </c>
      <c r="B236" s="5" t="n">
        <v>1447897205.650903</v>
      </c>
      <c r="C236" s="5" t="n">
        <v>1447897205.650903</v>
      </c>
      <c r="D236" s="5" t="n">
        <v>579158882.2603611</v>
      </c>
      <c r="E236" s="5" t="n">
        <v>144789720.5650903</v>
      </c>
      <c r="F236" s="5" t="n">
        <v>97009112.77861048</v>
      </c>
      <c r="G236" s="5" t="n">
        <v>72756834.58395787</v>
      </c>
      <c r="H236" s="5" t="n">
        <v>58205467.66716629</v>
      </c>
      <c r="I236" s="5" t="n">
        <v>3120055.653800736</v>
      </c>
    </row>
    <row r="237">
      <c r="A237" s="7" t="n">
        <v>233</v>
      </c>
      <c r="B237" s="5" t="n">
        <v>1447979427.613385</v>
      </c>
      <c r="C237" s="5" t="n">
        <v>1447979427.613385</v>
      </c>
      <c r="D237" s="5" t="n">
        <v>579191771.045354</v>
      </c>
      <c r="E237" s="5" t="n">
        <v>144797942.7613385</v>
      </c>
      <c r="F237" s="5" t="n">
        <v>97014621.6500968</v>
      </c>
      <c r="G237" s="5" t="n">
        <v>72760966.23757261</v>
      </c>
      <c r="H237" s="5" t="n">
        <v>58208772.99005809</v>
      </c>
      <c r="I237" s="5" t="n">
        <v>2813558.959906983</v>
      </c>
    </row>
    <row r="238">
      <c r="A238" s="7" t="n">
        <v>234</v>
      </c>
      <c r="B238" s="5" t="n">
        <v>1448058443.225606</v>
      </c>
      <c r="C238" s="5" t="n">
        <v>1448058443.225606</v>
      </c>
      <c r="D238" s="5" t="n">
        <v>579223377.2902424</v>
      </c>
      <c r="E238" s="5" t="n">
        <v>144805844.3225606</v>
      </c>
      <c r="F238" s="5" t="n">
        <v>97019915.69611561</v>
      </c>
      <c r="G238" s="5" t="n">
        <v>72764936.77208671</v>
      </c>
      <c r="H238" s="5" t="n">
        <v>58211949.41766937</v>
      </c>
      <c r="I238" s="5" t="n">
        <v>2537497.109935094</v>
      </c>
    </row>
    <row r="239">
      <c r="A239" s="7" t="n">
        <v>235</v>
      </c>
      <c r="B239" s="5" t="n">
        <v>1448134376.861109</v>
      </c>
      <c r="C239" s="5" t="n">
        <v>1448134376.861109</v>
      </c>
      <c r="D239" s="5" t="n">
        <v>579253750.7444437</v>
      </c>
      <c r="E239" s="5" t="n">
        <v>144813437.6861109</v>
      </c>
      <c r="F239" s="5" t="n">
        <v>97025003.24969432</v>
      </c>
      <c r="G239" s="5" t="n">
        <v>72768752.43727073</v>
      </c>
      <c r="H239" s="5" t="n">
        <v>58215001.94981658</v>
      </c>
      <c r="I239" s="5" t="n">
        <v>2288834.952520289</v>
      </c>
    </row>
    <row r="240">
      <c r="A240" s="7" t="n">
        <v>236</v>
      </c>
      <c r="B240" s="5" t="n">
        <v>1448207348.119811</v>
      </c>
      <c r="C240" s="5" t="n">
        <v>1448207348.119811</v>
      </c>
      <c r="D240" s="5" t="n">
        <v>579282939.2479244</v>
      </c>
      <c r="E240" s="5" t="n">
        <v>144820734.8119811</v>
      </c>
      <c r="F240" s="5" t="n">
        <v>97029892.32402734</v>
      </c>
      <c r="G240" s="5" t="n">
        <v>72772419.2430205</v>
      </c>
      <c r="H240" s="5" t="n">
        <v>58217935.39441641</v>
      </c>
      <c r="I240" s="5" t="n">
        <v>2064840.531601288</v>
      </c>
    </row>
    <row r="241">
      <c r="A241" s="7" t="n">
        <v>237</v>
      </c>
      <c r="B241" s="5" t="n">
        <v>1448277472.007319</v>
      </c>
      <c r="C241" s="5" t="n">
        <v>1448277472.007319</v>
      </c>
      <c r="D241" s="5" t="n">
        <v>579310988.8029279</v>
      </c>
      <c r="E241" s="5" t="n">
        <v>144827747.200732</v>
      </c>
      <c r="F241" s="5" t="n">
        <v>97034590.62449042</v>
      </c>
      <c r="G241" s="5" t="n">
        <v>72775942.96836782</v>
      </c>
      <c r="H241" s="5" t="n">
        <v>58220754.37469426</v>
      </c>
      <c r="I241" s="5" t="n">
        <v>1863054.778904239</v>
      </c>
    </row>
    <row r="242">
      <c r="A242" s="7" t="n">
        <v>238</v>
      </c>
      <c r="B242" s="5" t="n">
        <v>1448344859.107813</v>
      </c>
      <c r="C242" s="5" t="n">
        <v>1448344859.107813</v>
      </c>
      <c r="D242" s="5" t="n">
        <v>579337943.6431254</v>
      </c>
      <c r="E242" s="5" t="n">
        <v>144834485.9107814</v>
      </c>
      <c r="F242" s="5" t="n">
        <v>97039105.56022352</v>
      </c>
      <c r="G242" s="5" t="n">
        <v>72779329.17016764</v>
      </c>
      <c r="H242" s="5" t="n">
        <v>58223463.33613411</v>
      </c>
      <c r="I242" s="5" t="n">
        <v>1681264.23674691</v>
      </c>
    </row>
    <row r="243">
      <c r="A243" s="7" t="n">
        <v>239</v>
      </c>
      <c r="B243" s="5" t="n">
        <v>1448409615.750696</v>
      </c>
      <c r="C243" s="5" t="n">
        <v>1448409615.750696</v>
      </c>
      <c r="D243" s="5" t="n">
        <v>579363846.3002783</v>
      </c>
      <c r="E243" s="5" t="n">
        <v>144840961.5750696</v>
      </c>
      <c r="F243" s="5" t="n">
        <v>97043444.25529662</v>
      </c>
      <c r="G243" s="5" t="n">
        <v>72782583.19147247</v>
      </c>
      <c r="H243" s="5" t="n">
        <v>58226066.55317798</v>
      </c>
      <c r="I243" s="5" t="n">
        <v>1517476.508145317</v>
      </c>
    </row>
    <row r="244">
      <c r="A244" s="7" t="n">
        <v>240</v>
      </c>
      <c r="B244" s="5" t="n">
        <v>1448471844.171226</v>
      </c>
      <c r="C244" s="5" t="n">
        <v>1448471844.171226</v>
      </c>
      <c r="D244" s="5" t="n">
        <v>579388737.6684903</v>
      </c>
      <c r="E244" s="5" t="n">
        <v>144847184.4171226</v>
      </c>
      <c r="F244" s="5" t="n">
        <v>97047613.55947213</v>
      </c>
      <c r="G244" s="5" t="n">
        <v>72785710.16960409</v>
      </c>
      <c r="H244" s="5" t="n">
        <v>58228568.13568328</v>
      </c>
      <c r="I244" s="5" t="n">
        <v>1369898.161506297</v>
      </c>
    </row>
    <row r="245">
      <c r="A245" s="7" t="n">
        <v>241</v>
      </c>
      <c r="B245" s="5" t="n">
        <v>1448531642.665319</v>
      </c>
      <c r="C245" s="5" t="n">
        <v>1448531642.665319</v>
      </c>
      <c r="D245" s="5" t="n">
        <v>579412657.0661277</v>
      </c>
      <c r="E245" s="5" t="n">
        <v>144853164.2665319</v>
      </c>
      <c r="F245" s="5" t="n">
        <v>97051620.05857639</v>
      </c>
      <c r="G245" s="5" t="n">
        <v>72788715.04393229</v>
      </c>
      <c r="H245" s="5" t="n">
        <v>58230972.03514583</v>
      </c>
      <c r="I245" s="5" t="n">
        <v>1236914.844459928</v>
      </c>
    </row>
    <row r="246">
      <c r="A246" s="7" t="n">
        <v>242</v>
      </c>
      <c r="B246" s="5" t="n">
        <v>1448589105.738719</v>
      </c>
      <c r="C246" s="5" t="n">
        <v>1448589105.738719</v>
      </c>
      <c r="D246" s="5" t="n">
        <v>579435642.2954874</v>
      </c>
      <c r="E246" s="5" t="n">
        <v>144858910.5738719</v>
      </c>
      <c r="F246" s="5" t="n">
        <v>97055470.08449414</v>
      </c>
      <c r="G246" s="5" t="n">
        <v>72791602.56337062</v>
      </c>
      <c r="H246" s="5" t="n">
        <v>58233282.05069649</v>
      </c>
      <c r="I246" s="5" t="n">
        <v>1117073.385931689</v>
      </c>
    </row>
    <row r="247">
      <c r="A247" s="7" t="n">
        <v>243</v>
      </c>
      <c r="B247" s="5" t="n">
        <v>1448644324.250715</v>
      </c>
      <c r="C247" s="5" t="n">
        <v>1448644324.250715</v>
      </c>
      <c r="D247" s="5" t="n">
        <v>579457729.7002858</v>
      </c>
      <c r="E247" s="5" t="n">
        <v>144864432.4250714</v>
      </c>
      <c r="F247" s="5" t="n">
        <v>97059169.72479787</v>
      </c>
      <c r="G247" s="5" t="n">
        <v>72794377.29359841</v>
      </c>
      <c r="H247" s="5" t="n">
        <v>58235501.83487874</v>
      </c>
      <c r="I247" s="5" t="n">
        <v>1009065.687642251</v>
      </c>
    </row>
    <row r="248">
      <c r="A248" s="7" t="n">
        <v>244</v>
      </c>
      <c r="B248" s="5" t="n">
        <v>1448697385.552607</v>
      </c>
      <c r="C248" s="5" t="n">
        <v>1448697385.552607</v>
      </c>
      <c r="D248" s="5" t="n">
        <v>579478954.2210426</v>
      </c>
      <c r="E248" s="5" t="n">
        <v>144869738.5552607</v>
      </c>
      <c r="F248" s="5" t="n">
        <v>97062724.83202465</v>
      </c>
      <c r="G248" s="5" t="n">
        <v>72797043.62401849</v>
      </c>
      <c r="H248" s="5" t="n">
        <v>58237634.8992148</v>
      </c>
      <c r="I248" s="5" t="n">
        <v>911714.2261048001</v>
      </c>
    </row>
    <row r="249">
      <c r="A249" s="7" t="n">
        <v>245</v>
      </c>
      <c r="B249" s="5" t="n">
        <v>1448748373.621078</v>
      </c>
      <c r="C249" s="5" t="n">
        <v>1448748373.621078</v>
      </c>
      <c r="D249" s="5" t="n">
        <v>579499349.448431</v>
      </c>
      <c r="E249" s="5" t="n">
        <v>144874837.3621078</v>
      </c>
      <c r="F249" s="5" t="n">
        <v>97066141.0326122</v>
      </c>
      <c r="G249" s="5" t="n">
        <v>72799605.77445915</v>
      </c>
      <c r="H249" s="5" t="n">
        <v>58239684.61956733</v>
      </c>
      <c r="I249" s="5" t="n">
        <v>823959.0040818759</v>
      </c>
    </row>
    <row r="250">
      <c r="A250" s="7" t="n">
        <v>246</v>
      </c>
      <c r="B250" s="5" t="n">
        <v>1448797369.186656</v>
      </c>
      <c r="C250" s="5" t="n">
        <v>1448797369.186656</v>
      </c>
      <c r="D250" s="5" t="n">
        <v>579518947.6746624</v>
      </c>
      <c r="E250" s="5" t="n">
        <v>144879736.9186656</v>
      </c>
      <c r="F250" s="5" t="n">
        <v>97069423.73550595</v>
      </c>
      <c r="G250" s="5" t="n">
        <v>72802067.80162947</v>
      </c>
      <c r="H250" s="5" t="n">
        <v>58241654.24130358</v>
      </c>
      <c r="I250" s="5" t="n">
        <v>744845.8065674372</v>
      </c>
    </row>
    <row r="251">
      <c r="A251" s="7" t="n">
        <v>247</v>
      </c>
      <c r="B251" s="5" t="n">
        <v>1448844449.857435</v>
      </c>
      <c r="C251" s="5" t="n">
        <v>1448844449.857435</v>
      </c>
      <c r="D251" s="5" t="n">
        <v>579537779.9429742</v>
      </c>
      <c r="E251" s="5" t="n">
        <v>144884444.9857436</v>
      </c>
      <c r="F251" s="5" t="n">
        <v>97072578.14044818</v>
      </c>
      <c r="G251" s="5" t="n">
        <v>72804433.60533613</v>
      </c>
      <c r="H251" s="5" t="n">
        <v>58243546.88426891</v>
      </c>
      <c r="I251" s="5" t="n">
        <v>673515.6308529229</v>
      </c>
    </row>
    <row r="252">
      <c r="A252" s="7" t="n">
        <v>248</v>
      </c>
      <c r="B252" s="5" t="n">
        <v>1448889690.238217</v>
      </c>
      <c r="C252" s="5" t="n">
        <v>1448889690.238217</v>
      </c>
      <c r="D252" s="5" t="n">
        <v>579555876.095287</v>
      </c>
      <c r="E252" s="5" t="n">
        <v>144888969.0238217</v>
      </c>
      <c r="F252" s="5" t="n">
        <v>97075609.24596058</v>
      </c>
      <c r="G252" s="5" t="n">
        <v>72806706.93447043</v>
      </c>
      <c r="H252" s="5" t="n">
        <v>58245365.54757635</v>
      </c>
      <c r="I252" s="5" t="n">
        <v>609195.1732800262</v>
      </c>
    </row>
    <row r="253">
      <c r="A253" s="7" t="n">
        <v>249</v>
      </c>
      <c r="B253" s="5" t="n">
        <v>1448933162.045229</v>
      </c>
      <c r="C253" s="5" t="n">
        <v>1448933162.045229</v>
      </c>
      <c r="D253" s="5" t="n">
        <v>579573264.8180916</v>
      </c>
      <c r="E253" s="5" t="n">
        <v>144893316.2045229</v>
      </c>
      <c r="F253" s="5" t="n">
        <v>97078521.85703035</v>
      </c>
      <c r="G253" s="5" t="n">
        <v>72808891.39277276</v>
      </c>
      <c r="H253" s="5" t="n">
        <v>58247113.11421821</v>
      </c>
      <c r="I253" s="5" t="n">
        <v>551188.2670217922</v>
      </c>
    </row>
    <row r="254">
      <c r="A254" s="7" t="n">
        <v>250</v>
      </c>
      <c r="B254" s="5" t="n">
        <v>1448974934.216577</v>
      </c>
      <c r="C254" s="5" t="n">
        <v>1448974934.216577</v>
      </c>
      <c r="D254" s="5" t="n">
        <v>579589973.6866308</v>
      </c>
      <c r="E254" s="5" t="n">
        <v>144897493.4216577</v>
      </c>
      <c r="F254" s="5" t="n">
        <v>97081320.59251067</v>
      </c>
      <c r="G254" s="5" t="n">
        <v>72810990.444383</v>
      </c>
      <c r="H254" s="5" t="n">
        <v>58248792.3555064</v>
      </c>
      <c r="I254" s="5" t="n">
        <v>498868.1757999365</v>
      </c>
    </row>
    <row r="255">
      <c r="A255" s="7" t="n">
        <v>251</v>
      </c>
      <c r="B255" s="5" t="n">
        <v>1449015073.018586</v>
      </c>
      <c r="C255" s="5" t="n">
        <v>1449015073.018586</v>
      </c>
      <c r="D255" s="5" t="n">
        <v>579606029.2074344</v>
      </c>
      <c r="E255" s="5" t="n">
        <v>144901507.3018586</v>
      </c>
      <c r="F255" s="5" t="n">
        <v>97084009.89224528</v>
      </c>
      <c r="G255" s="5" t="n">
        <v>72813007.41918395</v>
      </c>
      <c r="H255" s="5" t="n">
        <v>58250405.93534717</v>
      </c>
      <c r="I255" s="5" t="n">
        <v>451670.6579545502</v>
      </c>
    </row>
    <row r="256">
      <c r="A256" s="7" t="n">
        <v>252</v>
      </c>
      <c r="B256" s="5" t="n">
        <v>1449053642.148162</v>
      </c>
      <c r="C256" s="5" t="n">
        <v>1449053642.148162</v>
      </c>
      <c r="D256" s="5" t="n">
        <v>579621456.8592647</v>
      </c>
      <c r="E256" s="5" t="n">
        <v>144905364.2148162</v>
      </c>
      <c r="F256" s="5" t="n">
        <v>97086594.02392685</v>
      </c>
      <c r="G256" s="5" t="n">
        <v>72814945.51794514</v>
      </c>
      <c r="H256" s="5" t="n">
        <v>58251956.41435611</v>
      </c>
      <c r="I256" s="5" t="n">
        <v>409087.7238406715</v>
      </c>
    </row>
    <row r="257">
      <c r="A257" s="7" t="n">
        <v>253</v>
      </c>
      <c r="B257" s="5" t="n">
        <v>1449090702.831329</v>
      </c>
      <c r="C257" s="5" t="n">
        <v>1449090702.831329</v>
      </c>
      <c r="D257" s="5" t="n">
        <v>579636281.1325318</v>
      </c>
      <c r="E257" s="5" t="n">
        <v>144909070.2831329</v>
      </c>
      <c r="F257" s="5" t="n">
        <v>97089077.08969907</v>
      </c>
      <c r="G257" s="5" t="n">
        <v>72816807.8172743</v>
      </c>
      <c r="H257" s="5" t="n">
        <v>58253446.25381944</v>
      </c>
      <c r="I257" s="5" t="n">
        <v>370662.0172288249</v>
      </c>
    </row>
    <row r="258">
      <c r="A258" s="7" t="n">
        <v>254</v>
      </c>
      <c r="B258" s="5" t="n">
        <v>1449126313.918069</v>
      </c>
      <c r="C258" s="5" t="n">
        <v>1449126313.918069</v>
      </c>
      <c r="D258" s="5" t="n">
        <v>579650525.5672277</v>
      </c>
      <c r="E258" s="5" t="n">
        <v>144912631.3918069</v>
      </c>
      <c r="F258" s="5" t="n">
        <v>97091463.03251065</v>
      </c>
      <c r="G258" s="5" t="n">
        <v>72818597.27438299</v>
      </c>
      <c r="H258" s="5" t="n">
        <v>58254877.8195064</v>
      </c>
      <c r="I258" s="5" t="n">
        <v>335981.758317521</v>
      </c>
    </row>
    <row r="259">
      <c r="A259" s="7" t="n">
        <v>255</v>
      </c>
      <c r="B259" s="5" t="n">
        <v>1449160531.973598</v>
      </c>
      <c r="C259" s="5" t="n">
        <v>1449160531.973598</v>
      </c>
      <c r="D259" s="5" t="n">
        <v>579664212.7894394</v>
      </c>
      <c r="E259" s="5" t="n">
        <v>144916053.1973599</v>
      </c>
      <c r="F259" s="5" t="n">
        <v>97093755.64223111</v>
      </c>
      <c r="G259" s="5" t="n">
        <v>72820316.73167333</v>
      </c>
      <c r="H259" s="5" t="n">
        <v>58256253.38533866</v>
      </c>
      <c r="I259" s="5" t="n">
        <v>304676.1922062225</v>
      </c>
    </row>
    <row r="260">
      <c r="A260" s="7" t="n">
        <v>256</v>
      </c>
      <c r="B260" s="5" t="n">
        <v>1449193411.366211</v>
      </c>
      <c r="C260" s="5" t="n">
        <v>1449193411.366211</v>
      </c>
      <c r="D260" s="5" t="n">
        <v>579677364.5464844</v>
      </c>
      <c r="E260" s="5" t="n">
        <v>144919341.1366211</v>
      </c>
      <c r="F260" s="5" t="n">
        <v>97095958.56153613</v>
      </c>
      <c r="G260" s="5" t="n">
        <v>72821968.9211521</v>
      </c>
      <c r="H260" s="5" t="n">
        <v>58257575.13692168</v>
      </c>
      <c r="I260" s="5" t="n">
        <v>276411.4922906268</v>
      </c>
    </row>
    <row r="261">
      <c r="A261" s="7" t="n">
        <v>257</v>
      </c>
      <c r="B261" s="5" t="n">
        <v>1449225004.35181</v>
      </c>
      <c r="C261" s="5" t="n">
        <v>1449225004.35181</v>
      </c>
      <c r="D261" s="5" t="n">
        <v>579690001.7407242</v>
      </c>
      <c r="E261" s="5" t="n">
        <v>144922500.4351811</v>
      </c>
      <c r="F261" s="5" t="n">
        <v>97098075.2915713</v>
      </c>
      <c r="G261" s="5" t="n">
        <v>72823556.46867847</v>
      </c>
      <c r="H261" s="5" t="n">
        <v>58258845.17494278</v>
      </c>
      <c r="I261" s="5" t="n">
        <v>250887.0730967351</v>
      </c>
    </row>
    <row r="262">
      <c r="A262" s="7" t="n">
        <v>258</v>
      </c>
      <c r="B262" s="5" t="n">
        <v>1449255361.155252</v>
      </c>
      <c r="C262" s="5" t="n">
        <v>1449255361.155252</v>
      </c>
      <c r="D262" s="5" t="n">
        <v>579702144.4621006</v>
      </c>
      <c r="E262" s="5" t="n">
        <v>144925536.1155252</v>
      </c>
      <c r="F262" s="5" t="n">
        <v>97100109.19740187</v>
      </c>
      <c r="G262" s="5" t="n">
        <v>72825081.8980514</v>
      </c>
      <c r="H262" s="5" t="n">
        <v>58260065.51844112</v>
      </c>
      <c r="I262" s="5" t="n">
        <v>227832.2716176237</v>
      </c>
    </row>
    <row r="263">
      <c r="A263" s="7" t="n">
        <v>259</v>
      </c>
      <c r="B263" s="5" t="n">
        <v>1449284530.048603</v>
      </c>
      <c r="C263" s="5" t="n">
        <v>1449284530.048603</v>
      </c>
      <c r="D263" s="5" t="n">
        <v>579713812.0194412</v>
      </c>
      <c r="E263" s="5" t="n">
        <v>144928453.0048603</v>
      </c>
      <c r="F263" s="5" t="n">
        <v>97102063.51325642</v>
      </c>
      <c r="G263" s="5" t="n">
        <v>72826547.63494231</v>
      </c>
      <c r="H263" s="5" t="n">
        <v>58261238.10795385</v>
      </c>
      <c r="I263" s="5" t="n">
        <v>207003.3603104107</v>
      </c>
    </row>
    <row r="264">
      <c r="A264" s="7" t="n">
        <v>260</v>
      </c>
      <c r="B264" s="5" t="n">
        <v>1449312557.426449</v>
      </c>
      <c r="C264" s="5" t="n">
        <v>1449312557.426449</v>
      </c>
      <c r="D264" s="5" t="n">
        <v>579725022.9705797</v>
      </c>
      <c r="E264" s="5" t="n">
        <v>144931255.7426449</v>
      </c>
      <c r="F264" s="5" t="n">
        <v>97103941.34757212</v>
      </c>
      <c r="G264" s="5" t="n">
        <v>72827956.0106791</v>
      </c>
      <c r="H264" s="5" t="n">
        <v>58262364.80854328</v>
      </c>
      <c r="I264" s="5" t="n">
        <v>188180.8585950719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4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27" customWidth="1" min="2" max="2"/>
    <col width="23" customWidth="1" min="3" max="3"/>
    <col width="24" customWidth="1" min="4" max="4"/>
    <col width="27" customWidth="1" min="5" max="5"/>
    <col width="19" customWidth="1" min="6" max="6"/>
    <col width="23" customWidth="1" min="7" max="7"/>
    <col width="23" customWidth="1" min="8" max="8"/>
    <col width="27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CFO Financial Projections (Dual-Unit: Token &amp; USD)</t>
        </is>
      </c>
    </row>
    <row r="2">
      <c r="A2" s="2" t="inlineStr">
        <is>
          <t>Dynamic conversions between Z1U token metrics and USD fiat values based on simulated Spot Price</t>
        </is>
      </c>
    </row>
    <row r="3"/>
    <row r="4">
      <c r="A4" s="3" t="inlineStr">
        <is>
          <t>Epoch</t>
        </is>
      </c>
      <c r="B4" s="3" t="inlineStr">
        <is>
          <t>Audience Reserve (Z1U)</t>
        </is>
      </c>
      <c r="C4" s="3" t="inlineStr">
        <is>
          <t>Treasury (Z1U)</t>
        </is>
      </c>
      <c r="D4" s="3" t="inlineStr">
        <is>
          <t>Spot Price (USD)</t>
        </is>
      </c>
      <c r="E4" s="3" t="inlineStr">
        <is>
          <t>Audience Reserve (USD)</t>
        </is>
      </c>
      <c r="F4" s="3" t="inlineStr">
        <is>
          <t>Treasury (USD)</t>
        </is>
      </c>
      <c r="G4" s="3" t="inlineStr">
        <is>
          <t>Burn (Z1U)</t>
        </is>
      </c>
      <c r="H4" s="3" t="inlineStr">
        <is>
          <t>Verified Profiles</t>
        </is>
      </c>
      <c r="I4" s="3" t="inlineStr">
        <is>
          <t>Data Asset Value (USD)</t>
        </is>
      </c>
      <c r="J4" s="3" t="inlineStr">
        <is>
          <t>LTV (USD)</t>
        </is>
      </c>
      <c r="K4" s="3" t="inlineStr">
        <is>
          <t>CAC (USD)</t>
        </is>
      </c>
      <c r="L4" s="3" t="inlineStr">
        <is>
          <t>LTV/CAC Ratio</t>
        </is>
      </c>
    </row>
    <row r="5">
      <c r="A5" s="7" t="n">
        <v>1</v>
      </c>
      <c r="B5" s="6" t="n">
        <v>5583333.333333332</v>
      </c>
      <c r="C5" s="6" t="n">
        <v>2128787.386173994</v>
      </c>
      <c r="D5" s="8" t="n">
        <v>0.09879182361836145</v>
      </c>
      <c r="E5" s="9">
        <f>B5*D5</f>
        <v/>
      </c>
      <c r="F5" s="9">
        <f>C5*D5</f>
        <v/>
      </c>
      <c r="G5" s="6" t="n">
        <v>115742.9438705932</v>
      </c>
      <c r="H5" s="5" t="n">
        <v>1358720.398295426</v>
      </c>
      <c r="I5" s="9">
        <f>H5*38.36*0.012</f>
        <v/>
      </c>
      <c r="J5" s="9">
        <f>((1425.0001425000141*D5)*0.34/(95000000.0+1))*52</f>
        <v/>
      </c>
      <c r="K5" s="8">
        <f>0.35*0.012</f>
        <v/>
      </c>
      <c r="L5" s="10">
        <f>J5/K5</f>
        <v/>
      </c>
    </row>
    <row r="6">
      <c r="A6" s="7" t="n">
        <v>2</v>
      </c>
      <c r="B6" s="6" t="n">
        <v>5625000</v>
      </c>
      <c r="C6" s="6" t="n">
        <v>2195400.938764485</v>
      </c>
      <c r="D6" s="8" t="n">
        <v>0.09927844812263402</v>
      </c>
      <c r="E6" s="9">
        <f>B6*D6</f>
        <v/>
      </c>
      <c r="F6" s="9">
        <f>C6*D6</f>
        <v/>
      </c>
      <c r="G6" s="6" t="n">
        <v>238219.7491447861</v>
      </c>
      <c r="H6" s="5" t="n">
        <v>1604495.03129851</v>
      </c>
      <c r="I6" s="9">
        <f>H6*38.36*0.012</f>
        <v/>
      </c>
      <c r="J6" s="9">
        <f>((1287.4156214016236*D6)*0.34/(85827699.51067078+1))*52</f>
        <v/>
      </c>
      <c r="K6" s="8">
        <f>0.35*0.012</f>
        <v/>
      </c>
      <c r="L6" s="10">
        <f>J6/K6</f>
        <v/>
      </c>
    </row>
    <row r="7">
      <c r="A7" s="7" t="n">
        <v>3</v>
      </c>
      <c r="B7" s="6" t="n">
        <v>5666666.666666668</v>
      </c>
      <c r="C7" s="6" t="n">
        <v>2262715.192200012</v>
      </c>
      <c r="D7" s="8" t="n">
        <v>0.09986721226943734</v>
      </c>
      <c r="E7" s="9">
        <f>B7*D7</f>
        <v/>
      </c>
      <c r="F7" s="9">
        <f>C7*D7</f>
        <v/>
      </c>
      <c r="G7" s="6" t="n">
        <v>367544.5602415286</v>
      </c>
      <c r="H7" s="5" t="n">
        <v>1870665.584549537</v>
      </c>
      <c r="I7" s="9">
        <f>H7*38.36*0.012</f>
        <v/>
      </c>
      <c r="J7" s="9">
        <f>((1163.9974708588231*D7)*0.34/(77599823.63060507+1))*52</f>
        <v/>
      </c>
      <c r="K7" s="8">
        <f>0.35*0.012</f>
        <v/>
      </c>
      <c r="L7" s="10">
        <f>J7/K7</f>
        <v/>
      </c>
    </row>
    <row r="8">
      <c r="A8" s="7" t="n">
        <v>4</v>
      </c>
      <c r="B8" s="6" t="n">
        <v>5706985.548178882</v>
      </c>
      <c r="C8" s="6" t="n">
        <v>2329523.889213759</v>
      </c>
      <c r="D8" s="8" t="n">
        <v>0.1005637015582422</v>
      </c>
      <c r="E8" s="9">
        <f>B8*D8</f>
        <v/>
      </c>
      <c r="F8" s="9">
        <f>C8*D8</f>
        <v/>
      </c>
      <c r="G8" s="6" t="n">
        <v>503530.9390738349</v>
      </c>
      <c r="H8" s="5" t="n">
        <v>2158785.272214534</v>
      </c>
      <c r="I8" s="9">
        <f>H8*38.36*0.012</f>
        <v/>
      </c>
      <c r="J8" s="9">
        <f>((1053.36011810248*D8)*0.34/(70224000.8510979+1))*52</f>
        <v/>
      </c>
      <c r="K8" s="8">
        <f>0.35*0.012</f>
        <v/>
      </c>
      <c r="L8" s="10">
        <f>J8/K8</f>
        <v/>
      </c>
    </row>
    <row r="9">
      <c r="A9" s="7" t="n">
        <v>5</v>
      </c>
      <c r="B9" s="6" t="n">
        <v>5745940.670662057</v>
      </c>
      <c r="C9" s="6" t="n">
        <v>2395538.652276988</v>
      </c>
      <c r="D9" s="8" t="n">
        <v>0.1013366191951697</v>
      </c>
      <c r="E9" s="9">
        <f>B9*D9</f>
        <v/>
      </c>
      <c r="F9" s="9">
        <f>C9*D9</f>
        <v/>
      </c>
      <c r="G9" s="6" t="n">
        <v>646066.7190466623</v>
      </c>
      <c r="H9" s="5" t="n">
        <v>2470476.988118738</v>
      </c>
      <c r="I9" s="9">
        <f>H9*38.36*0.012</f>
        <v/>
      </c>
      <c r="J9" s="9">
        <f>((954.2579412336999*D9)*0.34/(63617189.72052705+1))*52</f>
        <v/>
      </c>
      <c r="K9" s="8">
        <f>0.35*0.012</f>
        <v/>
      </c>
      <c r="L9" s="10">
        <f>J9/K9</f>
        <v/>
      </c>
    </row>
    <row r="10">
      <c r="A10" s="7" t="n">
        <v>6</v>
      </c>
      <c r="B10" s="6" t="n">
        <v>5783553.219484976</v>
      </c>
      <c r="C10" s="6" t="n">
        <v>2513822.211917367</v>
      </c>
      <c r="D10" s="8" t="n">
        <v>0.1012750009250193</v>
      </c>
      <c r="E10" s="9">
        <f>B10*D10</f>
        <v/>
      </c>
      <c r="F10" s="9">
        <f>C10*D10</f>
        <v/>
      </c>
      <c r="G10" s="6" t="n">
        <v>800520.4976447412</v>
      </c>
      <c r="H10" s="5" t="n">
        <v>2807425.214430071</v>
      </c>
      <c r="I10" s="9">
        <f>H10*38.36*0.012</f>
        <v/>
      </c>
      <c r="J10" s="9">
        <f>((865.5711123104531*D10)*0.34/(57704735.0502228+1))*52</f>
        <v/>
      </c>
      <c r="K10" s="8">
        <f>0.35*0.012</f>
        <v/>
      </c>
      <c r="L10" s="10">
        <f>J10/K10</f>
        <v/>
      </c>
    </row>
    <row r="11">
      <c r="A11" s="7" t="n">
        <v>7</v>
      </c>
      <c r="B11" s="6" t="n">
        <v>5820327.443115071</v>
      </c>
      <c r="C11" s="6" t="n">
        <v>2632040.676792432</v>
      </c>
      <c r="D11" s="8" t="n">
        <v>0.1014141275016806</v>
      </c>
      <c r="E11" s="9">
        <f>B11*D11</f>
        <v/>
      </c>
      <c r="F11" s="9">
        <f>C11*D11</f>
        <v/>
      </c>
      <c r="G11" s="6" t="n">
        <v>966863.9388970527</v>
      </c>
      <c r="H11" s="5" t="n">
        <v>3171364.982176343</v>
      </c>
      <c r="I11" s="9">
        <f>H11*38.36*0.012</f>
        <v/>
      </c>
      <c r="J11" s="9">
        <f>((786.2927971622129*D11)*0.34/(52419514.568862215+1))*52</f>
        <v/>
      </c>
      <c r="K11" s="8">
        <f>0.35*0.012</f>
        <v/>
      </c>
      <c r="L11" s="10">
        <f>J11/K11</f>
        <v/>
      </c>
    </row>
    <row r="12">
      <c r="A12" s="7" t="n">
        <v>8</v>
      </c>
      <c r="B12" s="6" t="n">
        <v>5857206.52912564</v>
      </c>
      <c r="C12" s="6" t="n">
        <v>2749717.32934409</v>
      </c>
      <c r="D12" s="8" t="n">
        <v>0.1017747835579705</v>
      </c>
      <c r="E12" s="9">
        <f>B12*D12</f>
        <v/>
      </c>
      <c r="F12" s="9">
        <f>C12*D12</f>
        <v/>
      </c>
      <c r="G12" s="6" t="n">
        <v>1144998.169753014</v>
      </c>
      <c r="H12" s="5" t="n">
        <v>3564067.452181308</v>
      </c>
      <c r="I12" s="9">
        <f>H12*38.36*0.012</f>
        <v/>
      </c>
      <c r="J12" s="9">
        <f>((715.5175676314959*D12)*0.34/(47701166.40531595+1))*52</f>
        <v/>
      </c>
      <c r="K12" s="8">
        <f>0.35*0.012</f>
        <v/>
      </c>
      <c r="L12" s="10">
        <f>J12/K12</f>
        <v/>
      </c>
    </row>
    <row r="13">
      <c r="A13" s="7" t="n">
        <v>9</v>
      </c>
      <c r="B13" s="6" t="n">
        <v>5959622.046532544</v>
      </c>
      <c r="C13" s="6" t="n">
        <v>2802503.486996148</v>
      </c>
      <c r="D13" s="8" t="n">
        <v>0.1022731752100535</v>
      </c>
      <c r="E13" s="9">
        <f>B13*D13</f>
        <v/>
      </c>
      <c r="F13" s="9">
        <f>C13*D13</f>
        <v/>
      </c>
      <c r="G13" s="6" t="n">
        <v>1328467.607637187</v>
      </c>
      <c r="H13" s="5" t="n">
        <v>3987321.690439172</v>
      </c>
      <c r="I13" s="9">
        <f>H13*38.36*0.012</f>
        <v/>
      </c>
      <c r="J13" s="9">
        <f>((652.4308964800123*D13)*0.34/(43495388.74912818+1))*52</f>
        <v/>
      </c>
      <c r="K13" s="8">
        <f>0.35*0.012</f>
        <v/>
      </c>
      <c r="L13" s="10">
        <f>J13/K13</f>
        <v/>
      </c>
    </row>
    <row r="14">
      <c r="A14" s="7" t="n">
        <v>10</v>
      </c>
      <c r="B14" s="6" t="n">
        <v>6312555.80970902</v>
      </c>
      <c r="C14" s="6" t="n">
        <v>2605270.276878679</v>
      </c>
      <c r="D14" s="8" t="n">
        <v>0.102374860529788</v>
      </c>
      <c r="E14" s="9">
        <f>B14*D14</f>
        <v/>
      </c>
      <c r="F14" s="9">
        <f>C14*D14</f>
        <v/>
      </c>
      <c r="G14" s="6" t="n">
        <v>1492064.55264544</v>
      </c>
      <c r="H14" s="5" t="n">
        <v>4442912.241141384</v>
      </c>
      <c r="I14" s="9">
        <f>H14*38.36*0.012</f>
        <v/>
      </c>
      <c r="J14" s="9">
        <f>((596.2996187572365*D14)*0.34/(39753303.94181831+1))*52</f>
        <v/>
      </c>
      <c r="K14" s="8">
        <f>0.35*0.012</f>
        <v/>
      </c>
      <c r="L14" s="10">
        <f>J14/K14</f>
        <v/>
      </c>
    </row>
    <row r="15">
      <c r="A15" s="7" t="n">
        <v>11</v>
      </c>
      <c r="B15" s="6" t="n">
        <v>6460670.915730442</v>
      </c>
      <c r="C15" s="6" t="n">
        <v>2613691.802491342</v>
      </c>
      <c r="D15" s="8" t="n">
        <v>0.102094425420207</v>
      </c>
      <c r="E15" s="9">
        <f>B15*D15</f>
        <v/>
      </c>
      <c r="F15" s="9">
        <f>C15*D15</f>
        <v/>
      </c>
      <c r="G15" s="6" t="n">
        <v>1637372.368350612</v>
      </c>
      <c r="H15" s="5" t="n">
        <v>4932592.160518538</v>
      </c>
      <c r="I15" s="9">
        <f>H15*38.36*0.012</f>
        <v/>
      </c>
      <c r="J15" s="9">
        <f>((546.4632562484159*D15)*0.34/(36430880.10680602+1))*52</f>
        <v/>
      </c>
      <c r="K15" s="8">
        <f>0.35*0.012</f>
        <v/>
      </c>
      <c r="L15" s="10">
        <f>J15/K15</f>
        <v/>
      </c>
    </row>
    <row r="16">
      <c r="A16" s="7" t="n">
        <v>12</v>
      </c>
      <c r="B16" s="6" t="n">
        <v>6508969.522491709</v>
      </c>
      <c r="C16" s="6" t="n">
        <v>2768417.936508903</v>
      </c>
      <c r="D16" s="8" t="n">
        <v>0.1014583822798182</v>
      </c>
      <c r="E16" s="9">
        <f>B16*D16</f>
        <v/>
      </c>
      <c r="F16" s="9">
        <f>C16*D16</f>
        <v/>
      </c>
      <c r="G16" s="6" t="n">
        <v>1725331.198786834</v>
      </c>
      <c r="H16" s="5" t="n">
        <v>5458051.272727042</v>
      </c>
      <c r="I16" s="9">
        <f>H16*38.36*0.012</f>
        <v/>
      </c>
      <c r="J16" s="9">
        <f>((502.32611391866266*D16)*0.34/(33488404.245736755+1))*52</f>
        <v/>
      </c>
      <c r="K16" s="8">
        <f>0.35*0.012</f>
        <v/>
      </c>
      <c r="L16" s="10">
        <f>J16/K16</f>
        <v/>
      </c>
    </row>
    <row r="17">
      <c r="A17" s="7" t="n">
        <v>13</v>
      </c>
      <c r="B17" s="6" t="n">
        <v>6547477.397734873</v>
      </c>
      <c r="C17" s="6" t="n">
        <v>2931999.762477077</v>
      </c>
      <c r="D17" s="8" t="n">
        <v>0.1016445860980895</v>
      </c>
      <c r="E17" s="9">
        <f>B17*D17</f>
        <v/>
      </c>
      <c r="F17" s="9">
        <f>C17*D17</f>
        <v/>
      </c>
      <c r="G17" s="6" t="n">
        <v>1853670.251802934</v>
      </c>
      <c r="H17" s="5" t="n">
        <v>13307129.5523408</v>
      </c>
      <c r="I17" s="9">
        <f>H17*38.36*0.012</f>
        <v/>
      </c>
      <c r="J17" s="9">
        <f>((609.0750838172297*D17)*0.34/(40605001.52731476+1))*52</f>
        <v/>
      </c>
      <c r="K17" s="8">
        <f>0.35*0.012</f>
        <v/>
      </c>
      <c r="L17" s="10">
        <f>J17/K17</f>
        <v/>
      </c>
    </row>
    <row r="18">
      <c r="A18" s="7" t="n">
        <v>14</v>
      </c>
      <c r="B18" s="6" t="n">
        <v>6586158.027259839</v>
      </c>
      <c r="C18" s="6" t="n">
        <v>3093868.76690833</v>
      </c>
      <c r="D18" s="8" t="n">
        <v>0.1028168054439164</v>
      </c>
      <c r="E18" s="9">
        <f>B18*D18</f>
        <v/>
      </c>
      <c r="F18" s="9">
        <f>C18*D18</f>
        <v/>
      </c>
      <c r="G18" s="6" t="n">
        <v>2030779.867497134</v>
      </c>
      <c r="H18" s="5" t="n">
        <v>12451525.73267635</v>
      </c>
      <c r="I18" s="9">
        <f>H18*38.36*0.012</f>
        <v/>
      </c>
      <c r="J18" s="9">
        <f>((548.1675754355067*D18)*0.34/(36544501.37458328+1))*52</f>
        <v/>
      </c>
      <c r="K18" s="8">
        <f>0.35*0.012</f>
        <v/>
      </c>
      <c r="L18" s="10">
        <f>J18/K18</f>
        <v/>
      </c>
    </row>
    <row r="19">
      <c r="A19" s="7" t="n">
        <v>15</v>
      </c>
      <c r="B19" s="6" t="n">
        <v>6624805.897497565</v>
      </c>
      <c r="C19" s="6" t="n">
        <v>3259097.622487179</v>
      </c>
      <c r="D19" s="8" t="n">
        <v>0.1012481583296699</v>
      </c>
      <c r="E19" s="9">
        <f>B19*D19</f>
        <v/>
      </c>
      <c r="F19" s="9">
        <f>C19*D19</f>
        <v/>
      </c>
      <c r="G19" s="6" t="n">
        <v>2074152.185835402</v>
      </c>
      <c r="H19" s="5" t="n">
        <v>11927451.48904445</v>
      </c>
      <c r="I19" s="9">
        <f>H19*38.36*0.012</f>
        <v/>
      </c>
      <c r="J19" s="9">
        <f>((493.35081789195607*D19)*0.34/(32890051.237124953+1))*52</f>
        <v/>
      </c>
      <c r="K19" s="8">
        <f>0.35*0.012</f>
        <v/>
      </c>
      <c r="L19" s="10">
        <f>J19/K19</f>
        <v/>
      </c>
    </row>
    <row r="20">
      <c r="A20" s="7" t="n">
        <v>16</v>
      </c>
      <c r="B20" s="6" t="n">
        <v>6663473.888725332</v>
      </c>
      <c r="C20" s="6" t="n">
        <v>3420106.337039989</v>
      </c>
      <c r="D20" s="8" t="n">
        <v>0.1030182938760045</v>
      </c>
      <c r="E20" s="9">
        <f>B20*D20</f>
        <v/>
      </c>
      <c r="F20" s="9">
        <f>C20*D20</f>
        <v/>
      </c>
      <c r="G20" s="6" t="n">
        <v>2280846.818761801</v>
      </c>
      <c r="H20" s="5" t="n">
        <v>11677641.85131243</v>
      </c>
      <c r="I20" s="9">
        <f>H20*38.36*0.012</f>
        <v/>
      </c>
      <c r="J20" s="9">
        <f>((444.01573610276046*D20)*0.34/(29601046.11341246+1))*52</f>
        <v/>
      </c>
      <c r="K20" s="8">
        <f>0.35*0.012</f>
        <v/>
      </c>
      <c r="L20" s="10">
        <f>J20/K20</f>
        <v/>
      </c>
    </row>
    <row r="21">
      <c r="A21" s="7" t="n">
        <v>17</v>
      </c>
      <c r="B21" s="6" t="n">
        <v>6702054.914187415</v>
      </c>
      <c r="C21" s="6" t="n">
        <v>3585282.036715795</v>
      </c>
      <c r="D21" s="8" t="n">
        <v>0.1015709606055709</v>
      </c>
      <c r="E21" s="9">
        <f>B21*D21</f>
        <v/>
      </c>
      <c r="F21" s="9">
        <f>C21*D21</f>
        <v/>
      </c>
      <c r="G21" s="6" t="n">
        <v>2330217.28871912</v>
      </c>
      <c r="H21" s="5" t="n">
        <v>11656200.85587669</v>
      </c>
      <c r="I21" s="9">
        <f>H21*38.36*0.012</f>
        <v/>
      </c>
      <c r="J21" s="9">
        <f>((399.6141624924844*D21)*0.34/(26640941.502071213+1))*52</f>
        <v/>
      </c>
      <c r="K21" s="8">
        <f>0.35*0.012</f>
        <v/>
      </c>
      <c r="L21" s="10">
        <f>J21/K21</f>
        <v/>
      </c>
    </row>
    <row r="22">
      <c r="A22" s="7" t="n">
        <v>18</v>
      </c>
      <c r="B22" s="6" t="n">
        <v>6739979.23727453</v>
      </c>
      <c r="C22" s="6" t="n">
        <v>3745072.910911996</v>
      </c>
      <c r="D22" s="8" t="n">
        <v>0.1036744260724756</v>
      </c>
      <c r="E22" s="9">
        <f>B22*D22</f>
        <v/>
      </c>
      <c r="F22" s="9">
        <f>C22*D22</f>
        <v/>
      </c>
      <c r="G22" s="6" t="n">
        <v>2556031.747808329</v>
      </c>
      <c r="H22" s="5" t="n">
        <v>11826216.24141479</v>
      </c>
      <c r="I22" s="9">
        <f>H22*38.36*0.012</f>
        <v/>
      </c>
      <c r="J22" s="9">
        <f>((363.0530542940288*D22)*0.34/(24203534.53258156+1))*52</f>
        <v/>
      </c>
      <c r="K22" s="8">
        <f>0.35*0.012</f>
        <v/>
      </c>
      <c r="L22" s="10">
        <f>J22/K22</f>
        <v/>
      </c>
    </row>
    <row r="23">
      <c r="A23" s="7" t="n">
        <v>19</v>
      </c>
      <c r="B23" s="6" t="n">
        <v>6777274.475120652</v>
      </c>
      <c r="C23" s="6" t="n">
        <v>3909560.002008577</v>
      </c>
      <c r="D23" s="8" t="n">
        <v>0.102199906696495</v>
      </c>
      <c r="E23" s="9">
        <f>B23*D23</f>
        <v/>
      </c>
      <c r="F23" s="9">
        <f>C23*D23</f>
        <v/>
      </c>
      <c r="G23" s="6" t="n">
        <v>2605259.001836854</v>
      </c>
      <c r="H23" s="5" t="n">
        <v>12157840.92546498</v>
      </c>
      <c r="I23" s="9">
        <f>H23*38.36*0.012</f>
        <v/>
      </c>
      <c r="J23" s="9">
        <f>((333.3802432088792*D23)*0.34/(22225347.32472366+1))*52</f>
        <v/>
      </c>
      <c r="K23" s="8">
        <f>0.35*0.012</f>
        <v/>
      </c>
      <c r="L23" s="10">
        <f>J23/K23</f>
        <v/>
      </c>
    </row>
    <row r="24">
      <c r="A24" s="7" t="n">
        <v>20</v>
      </c>
      <c r="B24" s="6" t="n">
        <v>6848832.308928906</v>
      </c>
      <c r="C24" s="6" t="n">
        <v>4034170.923216641</v>
      </c>
      <c r="D24" s="8" t="n">
        <v>0.1042072662386133</v>
      </c>
      <c r="E24" s="9">
        <f>B24*D24</f>
        <v/>
      </c>
      <c r="F24" s="9">
        <f>C24*D24</f>
        <v/>
      </c>
      <c r="G24" s="6" t="n">
        <v>2826386.202591267</v>
      </c>
      <c r="H24" s="5" t="n">
        <v>12626750.21671489</v>
      </c>
      <c r="I24" s="9">
        <f>H24*38.36*0.012</f>
        <v/>
      </c>
      <c r="J24" s="9">
        <f>((309.42040565080805*D24)*0.34/(20628024.980584502+1))*52</f>
        <v/>
      </c>
      <c r="K24" s="8">
        <f>0.35*0.012</f>
        <v/>
      </c>
      <c r="L24" s="10">
        <f>J24/K24</f>
        <v/>
      </c>
    </row>
    <row r="25">
      <c r="A25" s="7" t="n">
        <v>21</v>
      </c>
      <c r="B25" s="6" t="n">
        <v>6984851.907408549</v>
      </c>
      <c r="C25" s="6" t="n">
        <v>4098539.306362811</v>
      </c>
      <c r="D25" s="8" t="n">
        <v>0.1033174015275833</v>
      </c>
      <c r="E25" s="9">
        <f>B25*D25</f>
        <v/>
      </c>
      <c r="F25" s="9">
        <f>C25*D25</f>
        <v/>
      </c>
      <c r="G25" s="6" t="n">
        <v>2906908.253837796</v>
      </c>
      <c r="H25" s="5" t="n">
        <v>11990472.82267896</v>
      </c>
      <c r="I25" s="9">
        <f>H25*38.36*0.012</f>
        <v/>
      </c>
      <c r="J25" s="9">
        <f>((278.47836508572726*D25)*0.34/(18565222.482526053+1))*52</f>
        <v/>
      </c>
      <c r="K25" s="8">
        <f>0.35*0.012</f>
        <v/>
      </c>
      <c r="L25" s="10">
        <f>J25/K25</f>
        <v/>
      </c>
    </row>
    <row r="26">
      <c r="A26" s="7" t="n">
        <v>22</v>
      </c>
      <c r="B26" s="6" t="n">
        <v>7340837.626104373</v>
      </c>
      <c r="C26" s="6" t="n">
        <v>3944269.401247401</v>
      </c>
      <c r="D26" s="8" t="n">
        <v>0.1014888468992912</v>
      </c>
      <c r="E26" s="9">
        <f>B26*D26</f>
        <v/>
      </c>
      <c r="F26" s="9">
        <f>C26*D26</f>
        <v/>
      </c>
      <c r="G26" s="6" t="n">
        <v>2939073.88570572</v>
      </c>
      <c r="H26" s="5" t="n">
        <v>12921604.17868421</v>
      </c>
      <c r="I26" s="9">
        <f>H26*38.36*0.012</f>
        <v/>
      </c>
      <c r="J26" s="9">
        <f>((269.2531575595223*D26)*0.34/(17950208.708947107+1))*52</f>
        <v/>
      </c>
      <c r="K26" s="8">
        <f>0.35*0.012</f>
        <v/>
      </c>
      <c r="L26" s="10">
        <f>J26/K26</f>
        <v/>
      </c>
    </row>
    <row r="27">
      <c r="A27" s="7" t="n">
        <v>23</v>
      </c>
      <c r="B27" s="6" t="n">
        <v>7422673.008862216</v>
      </c>
      <c r="C27" s="6" t="n">
        <v>4057740.273489653</v>
      </c>
      <c r="D27" s="8" t="n">
        <v>0.1040351740524484</v>
      </c>
      <c r="E27" s="9">
        <f>B27*D27</f>
        <v/>
      </c>
      <c r="F27" s="9">
        <f>C27*D27</f>
        <v/>
      </c>
      <c r="G27" s="6" t="n">
        <v>3186996.107843769</v>
      </c>
      <c r="H27" s="5" t="n">
        <v>13890081.68230777</v>
      </c>
      <c r="I27" s="9">
        <f>H27*38.36*0.012</f>
        <v/>
      </c>
      <c r="J27" s="9">
        <f>((261.69739381299644*D27)*0.34/(17446491.17621714+1))*52</f>
        <v/>
      </c>
      <c r="K27" s="8">
        <f>0.35*0.012</f>
        <v/>
      </c>
      <c r="L27" s="10">
        <f>J27/K27</f>
        <v/>
      </c>
    </row>
    <row r="28">
      <c r="A28" s="7" t="n">
        <v>24</v>
      </c>
      <c r="B28" s="6" t="n">
        <v>7460288.111458879</v>
      </c>
      <c r="C28" s="6" t="n">
        <v>4222988.966969781</v>
      </c>
      <c r="D28" s="8" t="n">
        <v>0.1024655920429426</v>
      </c>
      <c r="E28" s="9">
        <f>B28*D28</f>
        <v/>
      </c>
      <c r="F28" s="9">
        <f>C28*D28</f>
        <v/>
      </c>
      <c r="G28" s="6" t="n">
        <v>3231783.77769969</v>
      </c>
      <c r="H28" s="5" t="n">
        <v>14893312.53955003</v>
      </c>
      <c r="I28" s="9">
        <f>H28*38.36*0.012</f>
        <v/>
      </c>
      <c r="J28" s="9">
        <f>((255.59227358300393*D28)*0.34/(17039483.201585107+1))*52</f>
        <v/>
      </c>
      <c r="K28" s="8">
        <f>0.35*0.012</f>
        <v/>
      </c>
      <c r="L28" s="10">
        <f>J28/K28</f>
        <v/>
      </c>
    </row>
    <row r="29">
      <c r="A29" s="7" t="n">
        <v>25</v>
      </c>
      <c r="B29" s="6" t="n">
        <v>7498717.906813104</v>
      </c>
      <c r="C29" s="6" t="n">
        <v>4382938.335264758</v>
      </c>
      <c r="D29" s="8" t="n">
        <v>0.1044337085183572</v>
      </c>
      <c r="E29" s="9">
        <f>B29*D29</f>
        <v/>
      </c>
      <c r="F29" s="9">
        <f>C29*D29</f>
        <v/>
      </c>
      <c r="G29" s="6" t="n">
        <v>3448403.873934574</v>
      </c>
      <c r="H29" s="5" t="n">
        <v>15928140.52343208</v>
      </c>
      <c r="I29" s="9">
        <f>H29*38.36*0.012</f>
        <v/>
      </c>
      <c r="J29" s="9">
        <f>((250.72960797200074*D29)*0.34/(16715305.526602665+1))*52</f>
        <v/>
      </c>
      <c r="K29" s="8">
        <f>0.35*0.012</f>
        <v/>
      </c>
      <c r="L29" s="10">
        <f>J29/K29</f>
        <v/>
      </c>
    </row>
    <row r="30">
      <c r="A30" s="7" t="n">
        <v>26</v>
      </c>
      <c r="B30" s="6" t="n">
        <v>7537962.623528229</v>
      </c>
      <c r="C30" s="6" t="n">
        <v>4545915.323574633</v>
      </c>
      <c r="D30" s="8" t="n">
        <v>0.1040594105237211</v>
      </c>
      <c r="E30" s="9">
        <f>B30*D30</f>
        <v/>
      </c>
      <c r="F30" s="9">
        <f>C30*D30</f>
        <v/>
      </c>
      <c r="G30" s="6" t="n">
        <v>3554357.483000439</v>
      </c>
      <c r="H30" s="5" t="n">
        <v>16990868.54919854</v>
      </c>
      <c r="I30" s="9">
        <f>H30*38.36*0.012</f>
        <v/>
      </c>
      <c r="J30" s="9">
        <f>((246.91120981558615*D30)*0.34/(16460745.674964346+1))*52</f>
        <v/>
      </c>
      <c r="K30" s="8">
        <f>0.35*0.012</f>
        <v/>
      </c>
      <c r="L30" s="10">
        <f>J30/K30</f>
        <v/>
      </c>
    </row>
    <row r="31">
      <c r="A31" s="7" t="n">
        <v>27</v>
      </c>
      <c r="B31" s="6" t="n">
        <v>7577203.448438026</v>
      </c>
      <c r="C31" s="6" t="n">
        <v>4711551.909453968</v>
      </c>
      <c r="D31" s="8" t="n">
        <v>0.1024196746289463</v>
      </c>
      <c r="E31" s="9">
        <f>B31*D31</f>
        <v/>
      </c>
      <c r="F31" s="9">
        <f>C31*D31</f>
        <v/>
      </c>
      <c r="G31" s="6" t="n">
        <v>3594472.327576626</v>
      </c>
      <c r="H31" s="5" t="n">
        <v>18077300.86405893</v>
      </c>
      <c r="I31" s="9">
        <f>H31*38.36*0.012</f>
        <v/>
      </c>
      <c r="J31" s="9">
        <f>((243.9487373041003*D31)*0.34/(16263247.527281772+1))*52</f>
        <v/>
      </c>
      <c r="K31" s="8">
        <f>0.35*0.012</f>
        <v/>
      </c>
      <c r="L31" s="10">
        <f>J31/K31</f>
        <v/>
      </c>
    </row>
    <row r="32">
      <c r="A32" s="7" t="n">
        <v>28</v>
      </c>
      <c r="B32" s="6" t="n">
        <v>7616450.054867927</v>
      </c>
      <c r="C32" s="6" t="n">
        <v>4867804.902180795</v>
      </c>
      <c r="D32" s="8" t="n">
        <v>0.1050634700549674</v>
      </c>
      <c r="E32" s="9">
        <f>B32*D32</f>
        <v/>
      </c>
      <c r="F32" s="9">
        <f>C32*D32</f>
        <v/>
      </c>
      <c r="G32" s="6" t="n">
        <v>3845492.516034101</v>
      </c>
      <c r="H32" s="5" t="n">
        <v>19182804.9850411</v>
      </c>
      <c r="I32" s="9">
        <f>H32*38.36*0.012</f>
        <v/>
      </c>
      <c r="J32" s="9">
        <f>((241.66394820434198*D32)*0.34/(16110928.269196479+1))*52</f>
        <v/>
      </c>
      <c r="K32" s="8">
        <f>0.35*0.012</f>
        <v/>
      </c>
      <c r="L32" s="10">
        <f>J32/K32</f>
        <v/>
      </c>
    </row>
    <row r="33">
      <c r="A33" s="7" t="n">
        <v>29</v>
      </c>
      <c r="B33" s="6" t="n">
        <v>7655698.625996794</v>
      </c>
      <c r="C33" s="6" t="n">
        <v>5029127.342771348</v>
      </c>
      <c r="D33" s="8" t="n">
        <v>0.1047457819383789</v>
      </c>
      <c r="E33" s="9">
        <f>B33*D33</f>
        <v/>
      </c>
      <c r="F33" s="9">
        <f>C33*D33</f>
        <v/>
      </c>
      <c r="G33" s="6" t="n">
        <v>3953284.800285959</v>
      </c>
      <c r="H33" s="5" t="n">
        <v>20302392.3207185</v>
      </c>
      <c r="I33" s="9">
        <f>H33*38.36*0.012</f>
        <v/>
      </c>
      <c r="J33" s="9">
        <f>((239.8893023366308*D33)*0.34/(15992618.556513373+1))*52</f>
        <v/>
      </c>
      <c r="K33" s="8">
        <f>0.35*0.012</f>
        <v/>
      </c>
      <c r="L33" s="10">
        <f>J33/K33</f>
        <v/>
      </c>
    </row>
    <row r="34">
      <c r="A34" s="7" t="n">
        <v>30</v>
      </c>
      <c r="B34" s="6" t="n">
        <v>7694941.593696665</v>
      </c>
      <c r="C34" s="6" t="n">
        <v>5142457.677604411</v>
      </c>
      <c r="D34" s="8" t="n">
        <v>0.1038601874781832</v>
      </c>
      <c r="E34" s="9">
        <f>B34*D34</f>
        <v/>
      </c>
      <c r="F34" s="9">
        <f>C34*D34</f>
        <v/>
      </c>
      <c r="G34" s="6" t="n">
        <v>3976691.306489432</v>
      </c>
      <c r="H34" s="5" t="n">
        <v>21430815.15254781</v>
      </c>
      <c r="I34" s="9">
        <f>H34*38.36*0.012</f>
        <v/>
      </c>
      <c r="J34" s="9">
        <f>((238.46883099639987*D34)*0.34/(15897920.476634454+1))*52</f>
        <v/>
      </c>
      <c r="K34" s="8">
        <f>0.35*0.012</f>
        <v/>
      </c>
      <c r="L34" s="10">
        <f>J34/K34</f>
        <v/>
      </c>
    </row>
    <row r="35">
      <c r="A35" s="7" t="n">
        <v>31</v>
      </c>
      <c r="B35" s="6" t="n">
        <v>7749185.320268793</v>
      </c>
      <c r="C35" s="6" t="n">
        <v>5241382.705395953</v>
      </c>
      <c r="D35" s="8" t="n">
        <v>0.1028689062147486</v>
      </c>
      <c r="E35" s="9">
        <f>B35*D35</f>
        <v/>
      </c>
      <c r="F35" s="9">
        <f>C35*D35</f>
        <v/>
      </c>
      <c r="G35" s="6" t="n">
        <v>3995245.065634182</v>
      </c>
      <c r="H35" s="5" t="n">
        <v>22562676.44688056</v>
      </c>
      <c r="I35" s="9">
        <f>H35*38.36*0.012</f>
        <v/>
      </c>
      <c r="J35" s="9">
        <f>((237.25917604713752*D35)*0.34/(15817276.821414663+1))*52</f>
        <v/>
      </c>
      <c r="K35" s="8">
        <f>0.35*0.012</f>
        <v/>
      </c>
      <c r="L35" s="10">
        <f>J35/K35</f>
        <v/>
      </c>
    </row>
    <row r="36">
      <c r="A36" s="7" t="n">
        <v>32</v>
      </c>
      <c r="B36" s="6" t="n">
        <v>7848428.73055453</v>
      </c>
      <c r="C36" s="6" t="n">
        <v>5294879.209956977</v>
      </c>
      <c r="D36" s="8" t="n">
        <v>0.1019853802534643</v>
      </c>
      <c r="E36" s="9">
        <f>B36*D36</f>
        <v/>
      </c>
      <c r="F36" s="9">
        <f>C36*D36</f>
        <v/>
      </c>
      <c r="G36" s="6" t="n">
        <v>4018045.267787353</v>
      </c>
      <c r="H36" s="5" t="n">
        <v>23692547.94563492</v>
      </c>
      <c r="I36" s="9">
        <f>H36*38.36*0.012</f>
        <v/>
      </c>
      <c r="J36" s="9">
        <f>((236.13069067725422*D36)*0.34/(15742044.470945679+1))*52</f>
        <v/>
      </c>
      <c r="K36" s="8">
        <f>0.35*0.012</f>
        <v/>
      </c>
      <c r="L36" s="10">
        <f>J36/K36</f>
        <v/>
      </c>
    </row>
    <row r="37">
      <c r="A37" s="7" t="n">
        <v>33</v>
      </c>
      <c r="B37" s="6" t="n">
        <v>8082668.927494121</v>
      </c>
      <c r="C37" s="6" t="n">
        <v>5204197.002819211</v>
      </c>
      <c r="D37" s="8" t="n">
        <v>0.1054252155832884</v>
      </c>
      <c r="E37" s="9">
        <f>B37*D37</f>
        <v/>
      </c>
      <c r="F37" s="9">
        <f>C37*D37</f>
        <v/>
      </c>
      <c r="G37" s="6" t="n">
        <v>4254021.918712127</v>
      </c>
      <c r="H37" s="5" t="n">
        <v>24815091.25970237</v>
      </c>
      <c r="I37" s="9">
        <f>H37*38.36*0.012</f>
        <v/>
      </c>
      <c r="J37" s="9">
        <f>((234.96849013596463*D37)*0.34/(15664564.442607708+1))*52</f>
        <v/>
      </c>
      <c r="K37" s="8">
        <f>0.35*0.012</f>
        <v/>
      </c>
      <c r="L37" s="10">
        <f>J37/K37</f>
        <v/>
      </c>
    </row>
    <row r="38">
      <c r="A38" s="7" t="n">
        <v>34</v>
      </c>
      <c r="B38" s="6" t="n">
        <v>8211904.668131753</v>
      </c>
      <c r="C38" s="6" t="n">
        <v>5225527.146787956</v>
      </c>
      <c r="D38" s="8" t="n">
        <v>0.1057444263832332</v>
      </c>
      <c r="E38" s="9">
        <f>B38*D38</f>
        <v/>
      </c>
      <c r="F38" s="9">
        <f>C38*D38</f>
        <v/>
      </c>
      <c r="G38" s="6" t="n">
        <v>4338842.416174211</v>
      </c>
      <c r="H38" s="5" t="n">
        <v>25925176.35521211</v>
      </c>
      <c r="I38" s="9">
        <f>H38*38.36*0.012</f>
        <v/>
      </c>
      <c r="J38" s="9">
        <f>((233.67334525273338*D38)*0.34/(15578221.459026592+1))*52</f>
        <v/>
      </c>
      <c r="K38" s="8">
        <f>0.35*0.012</f>
        <v/>
      </c>
      <c r="L38" s="10">
        <f>J38/K38</f>
        <v/>
      </c>
    </row>
    <row r="39">
      <c r="A39" s="7" t="n">
        <v>35</v>
      </c>
      <c r="B39" s="6" t="n">
        <v>8281139.222908671</v>
      </c>
      <c r="C39" s="6" t="n">
        <v>5308257.847766062</v>
      </c>
      <c r="D39" s="8" t="n">
        <v>0.1051142511263064</v>
      </c>
      <c r="E39" s="9">
        <f>B39*D39</f>
        <v/>
      </c>
      <c r="F39" s="9">
        <f>C39*D39</f>
        <v/>
      </c>
      <c r="G39" s="6" t="n">
        <v>4375375.251134316</v>
      </c>
      <c r="H39" s="5" t="n">
        <v>27017991.92744816</v>
      </c>
      <c r="I39" s="9">
        <f>H39*38.36*0.012</f>
        <v/>
      </c>
      <c r="J39" s="9">
        <f>((232.16232435781248*D39)*0.34/(15477486.742772004+1))*52</f>
        <v/>
      </c>
      <c r="K39" s="8">
        <f>0.35*0.012</f>
        <v/>
      </c>
      <c r="L39" s="10">
        <f>J39/K39</f>
        <v/>
      </c>
    </row>
    <row r="40">
      <c r="A40" s="7" t="n">
        <v>36</v>
      </c>
      <c r="B40" s="6" t="n">
        <v>8335373.631023589</v>
      </c>
      <c r="C40" s="6" t="n">
        <v>5375224.27205945</v>
      </c>
      <c r="D40" s="8" t="n">
        <v>0.1047783153643869</v>
      </c>
      <c r="E40" s="9">
        <f>B40*D40</f>
        <v/>
      </c>
      <c r="F40" s="9">
        <f>C40*D40</f>
        <v/>
      </c>
      <c r="G40" s="6" t="n">
        <v>4395177.580744504</v>
      </c>
      <c r="H40" s="5" t="n">
        <v>28089142.69779683</v>
      </c>
      <c r="I40" s="9">
        <f>H40*38.36*0.012</f>
        <v/>
      </c>
      <c r="J40" s="9">
        <f>((230.36910947130636*D40)*0.34/(15357939.095626362+1))*52</f>
        <v/>
      </c>
      <c r="K40" s="8">
        <f>0.35*0.012</f>
        <v/>
      </c>
      <c r="L40" s="10">
        <f>J40/K40</f>
        <v/>
      </c>
    </row>
    <row r="41">
      <c r="A41" s="7" t="n">
        <v>37</v>
      </c>
      <c r="B41" s="6" t="n">
        <v>8464605.942449726</v>
      </c>
      <c r="C41" s="6" t="n">
        <v>5368186.620326024</v>
      </c>
      <c r="D41" s="8" t="n">
        <v>0.1043813071618673</v>
      </c>
      <c r="E41" s="9">
        <f>B41*D41</f>
        <v/>
      </c>
      <c r="F41" s="9">
        <f>C41*D41</f>
        <v/>
      </c>
      <c r="G41" s="6" t="n">
        <v>4411081.743361742</v>
      </c>
      <c r="H41" s="5" t="n">
        <v>29134729.59058739</v>
      </c>
      <c r="I41" s="9">
        <f>H41*38.36*0.012</f>
        <v/>
      </c>
      <c r="J41" s="9">
        <f>((228.243938471161*D41)*0.34/(15216261.04311781+1))*52</f>
        <v/>
      </c>
      <c r="K41" s="8">
        <f>0.35*0.012</f>
        <v/>
      </c>
      <c r="L41" s="10">
        <f>J41/K41</f>
        <v/>
      </c>
    </row>
    <row r="42">
      <c r="A42" s="7" t="n">
        <v>38</v>
      </c>
      <c r="B42" s="6" t="n">
        <v>8508839.132305667</v>
      </c>
      <c r="C42" s="6" t="n">
        <v>5446005.296068088</v>
      </c>
      <c r="D42" s="8" t="n">
        <v>0.1038096455003874</v>
      </c>
      <c r="E42" s="9">
        <f>B42*D42</f>
        <v/>
      </c>
      <c r="F42" s="9">
        <f>C42*D42</f>
        <v/>
      </c>
      <c r="G42" s="6" t="n">
        <v>4418412.59109463</v>
      </c>
      <c r="H42" s="5" t="n">
        <v>30151409.94964265</v>
      </c>
      <c r="I42" s="9">
        <f>H42*38.36*0.012</f>
        <v/>
      </c>
      <c r="J42" s="9">
        <f>((225.75315383851108*D42)*0.34/(15050208.750879714+1))*52</f>
        <v/>
      </c>
      <c r="K42" s="8">
        <f>0.35*0.012</f>
        <v/>
      </c>
      <c r="L42" s="10">
        <f>J42/K42</f>
        <v/>
      </c>
    </row>
    <row r="43">
      <c r="A43" s="7" t="n">
        <v>39</v>
      </c>
      <c r="B43" s="6" t="n">
        <v>8548073.532625414</v>
      </c>
      <c r="C43" s="6" t="n">
        <v>5529220.570097053</v>
      </c>
      <c r="D43" s="8" t="n">
        <v>0.1033562739810254</v>
      </c>
      <c r="E43" s="9">
        <f>B43*D43</f>
        <v/>
      </c>
      <c r="F43" s="9">
        <f>C43*D43</f>
        <v/>
      </c>
      <c r="G43" s="6" t="n">
        <v>4430430.896139802</v>
      </c>
      <c r="H43" s="5" t="n">
        <v>31136436.31009424</v>
      </c>
      <c r="I43" s="9">
        <f>H43*38.36*0.012</f>
        <v/>
      </c>
      <c r="J43" s="9">
        <f>((222.87836763374452*D43)*0.34/(14858556.356393851+1))*52</f>
        <v/>
      </c>
      <c r="K43" s="8">
        <f>0.35*0.012</f>
        <v/>
      </c>
      <c r="L43" s="10">
        <f>J43/K43</f>
        <v/>
      </c>
    </row>
    <row r="44">
      <c r="A44" s="7" t="n">
        <v>40</v>
      </c>
      <c r="B44" s="6" t="n">
        <v>8587309.043803323</v>
      </c>
      <c r="C44" s="6" t="n">
        <v>5611678.342164854</v>
      </c>
      <c r="D44" s="8" t="n">
        <v>0.1029837755247884</v>
      </c>
      <c r="E44" s="9">
        <f>B44*D44</f>
        <v/>
      </c>
      <c r="F44" s="9">
        <f>C44*D44</f>
        <v/>
      </c>
      <c r="G44" s="6" t="n">
        <v>4447204.175243916</v>
      </c>
      <c r="H44" s="5" t="n">
        <v>32087673.6109741</v>
      </c>
      <c r="I44" s="9">
        <f>H44*38.36*0.012</f>
        <v/>
      </c>
      <c r="J44" s="9">
        <f>((219.61527879044203*D44)*0.34/(14641017.121927612+1))*52</f>
        <v/>
      </c>
      <c r="K44" s="8">
        <f>0.35*0.012</f>
        <v/>
      </c>
      <c r="L44" s="10">
        <f>J44/K44</f>
        <v/>
      </c>
    </row>
    <row r="45">
      <c r="A45" s="7" t="n">
        <v>41</v>
      </c>
      <c r="B45" s="6" t="n">
        <v>8626545.503099762</v>
      </c>
      <c r="C45" s="6" t="n">
        <v>5694017.214537037</v>
      </c>
      <c r="D45" s="8" t="n">
        <v>0.1026169201910625</v>
      </c>
      <c r="E45" s="9">
        <f>B45*D45</f>
        <v/>
      </c>
      <c r="F45" s="9">
        <f>C45*D45</f>
        <v/>
      </c>
      <c r="G45" s="6" t="n">
        <v>4464189.552314168</v>
      </c>
      <c r="H45" s="5" t="n">
        <v>33003595.98951533</v>
      </c>
      <c r="I45" s="9">
        <f>H45*38.36*0.012</f>
        <v/>
      </c>
      <c r="J45" s="9">
        <f>((215.97220031406744*D45)*0.34/(14398145.247789828+1))*52</f>
        <v/>
      </c>
      <c r="K45" s="8">
        <f>0.35*0.012</f>
        <v/>
      </c>
      <c r="L45" s="10">
        <f>J45/K45</f>
        <v/>
      </c>
    </row>
    <row r="46">
      <c r="A46" s="7" t="n">
        <v>42</v>
      </c>
      <c r="B46" s="6" t="n">
        <v>8665782.957779519</v>
      </c>
      <c r="C46" s="6" t="n">
        <v>5776397.671311229</v>
      </c>
      <c r="D46" s="8" t="n">
        <v>0.102243273390494</v>
      </c>
      <c r="E46" s="9">
        <f>B46*D46</f>
        <v/>
      </c>
      <c r="F46" s="9">
        <f>C46*D46</f>
        <v/>
      </c>
      <c r="G46" s="6" t="n">
        <v>4481394.884987336</v>
      </c>
      <c r="H46" s="5" t="n">
        <v>33883265.33636677</v>
      </c>
      <c r="I46" s="9">
        <f>H46*38.36*0.012</f>
        <v/>
      </c>
      <c r="J46" s="9">
        <f>((211.96836897902847*D46)*0.34/(14131223.18547944+1))*52</f>
        <v/>
      </c>
      <c r="K46" s="8">
        <f>0.35*0.012</f>
        <v/>
      </c>
      <c r="L46" s="10">
        <f>J46/K46</f>
        <v/>
      </c>
    </row>
    <row r="47">
      <c r="A47" s="7" t="n">
        <v>43</v>
      </c>
      <c r="B47" s="6" t="n">
        <v>8705021.744357418</v>
      </c>
      <c r="C47" s="6" t="n">
        <v>5853441.583975968</v>
      </c>
      <c r="D47" s="8" t="n">
        <v>0.104376384676958</v>
      </c>
      <c r="E47" s="9">
        <f>B47*D47</f>
        <v/>
      </c>
      <c r="F47" s="9">
        <f>C47*D47</f>
        <v/>
      </c>
      <c r="G47" s="6" t="n">
        <v>4620651.430806812</v>
      </c>
      <c r="H47" s="5" t="n">
        <v>34726294.54593821</v>
      </c>
      <c r="I47" s="9">
        <f>H47*38.36*0.012</f>
        <v/>
      </c>
      <c r="J47" s="9">
        <f>((207.63211795861287*D47)*0.34/(13842139.81302674+1))*52</f>
        <v/>
      </c>
      <c r="K47" s="8">
        <f>0.35*0.012</f>
        <v/>
      </c>
      <c r="L47" s="10">
        <f>J47/K47</f>
        <v/>
      </c>
    </row>
    <row r="48">
      <c r="A48" s="7" t="n">
        <v>44</v>
      </c>
      <c r="B48" s="6" t="n">
        <v>8744260.221824029</v>
      </c>
      <c r="C48" s="6" t="n">
        <v>5932898.52682397</v>
      </c>
      <c r="D48" s="8" t="n">
        <v>0.1054330946981258</v>
      </c>
      <c r="E48" s="9">
        <f>B48*D48</f>
        <v/>
      </c>
      <c r="F48" s="9">
        <f>C48*D48</f>
        <v/>
      </c>
      <c r="G48" s="6" t="n">
        <v>4707432.195980318</v>
      </c>
      <c r="H48" s="5" t="n">
        <v>35532798.84158951</v>
      </c>
      <c r="I48" s="9">
        <f>H48*38.36*0.012</f>
        <v/>
      </c>
      <c r="J48" s="9">
        <f>((202.99899368878653*D48)*0.34/(13533264.892592479+1))*52</f>
        <v/>
      </c>
      <c r="K48" s="8">
        <f>0.35*0.012</f>
        <v/>
      </c>
      <c r="L48" s="10">
        <f>J48/K48</f>
        <v/>
      </c>
    </row>
    <row r="49">
      <c r="A49" s="7" t="n">
        <v>45</v>
      </c>
      <c r="B49" s="6" t="n">
        <v>8783499.085579302</v>
      </c>
      <c r="C49" s="6" t="n">
        <v>6008792.532015604</v>
      </c>
      <c r="D49" s="8" t="n">
        <v>0.1075280779820383</v>
      </c>
      <c r="E49" s="9">
        <f>B49*D49</f>
        <v/>
      </c>
      <c r="F49" s="9">
        <f>C49*D49</f>
        <v/>
      </c>
      <c r="G49" s="6" t="n">
        <v>4845791.251668169</v>
      </c>
      <c r="H49" s="5" t="n">
        <v>36303338.70181717</v>
      </c>
      <c r="I49" s="9">
        <f>H49*38.36*0.012</f>
        <v/>
      </c>
      <c r="J49" s="9">
        <f>((198.1098930655409*D49)*0.34/(13207324.883636773+1))*52</f>
        <v/>
      </c>
      <c r="K49" s="8">
        <f>0.35*0.012</f>
        <v/>
      </c>
      <c r="L49" s="10">
        <f>J49/K49</f>
        <v/>
      </c>
    </row>
    <row r="50">
      <c r="A50" s="7" t="n">
        <v>46</v>
      </c>
      <c r="B50" s="6" t="n">
        <v>8822737.309118336</v>
      </c>
      <c r="C50" s="6" t="n">
        <v>6091869.094288597</v>
      </c>
      <c r="D50" s="8" t="n">
        <v>0.1069548855005109</v>
      </c>
      <c r="E50" s="9">
        <f>B50*D50</f>
        <v/>
      </c>
      <c r="F50" s="9">
        <f>C50*D50</f>
        <v/>
      </c>
      <c r="G50" s="6" t="n">
        <v>4853756.886126839</v>
      </c>
      <c r="H50" s="5" t="n">
        <v>37038857.80023164</v>
      </c>
      <c r="I50" s="9">
        <f>H50*38.36*0.012</f>
        <v/>
      </c>
      <c r="J50" s="9">
        <f>((193.00928719831435*D50)*0.34/(12867284.526492378+1))*52</f>
        <v/>
      </c>
      <c r="K50" s="8">
        <f>0.35*0.012</f>
        <v/>
      </c>
      <c r="L50" s="10">
        <f>J50/K50</f>
        <v/>
      </c>
    </row>
    <row r="51">
      <c r="A51" s="7" t="n">
        <v>47</v>
      </c>
      <c r="B51" s="6" t="n">
        <v>8861976.590944463</v>
      </c>
      <c r="C51" s="6" t="n">
        <v>6174489.469560789</v>
      </c>
      <c r="D51" s="8" t="n">
        <v>0.1066028404366075</v>
      </c>
      <c r="E51" s="9">
        <f>B51*D51</f>
        <v/>
      </c>
      <c r="F51" s="9">
        <f>C51*D51</f>
        <v/>
      </c>
      <c r="G51" s="6" t="n">
        <v>4872166.431560458</v>
      </c>
      <c r="H51" s="5" t="n">
        <v>37740619.0565931</v>
      </c>
      <c r="I51" s="9">
        <f>H51*38.36*0.012</f>
        <v/>
      </c>
      <c r="J51" s="9">
        <f>((187.7435850092349*D51)*0.34/(12516237.748991761+1))*52</f>
        <v/>
      </c>
      <c r="K51" s="8">
        <f>0.35*0.012</f>
        <v/>
      </c>
      <c r="L51" s="10">
        <f>J51/K51</f>
        <v/>
      </c>
    </row>
    <row r="52">
      <c r="A52" s="7" t="n">
        <v>48</v>
      </c>
      <c r="B52" s="6" t="n">
        <v>8859550.176980434</v>
      </c>
      <c r="C52" s="6" t="n">
        <v>6180922.308713496</v>
      </c>
      <c r="D52" s="8" t="n">
        <v>0.1064413190284003</v>
      </c>
      <c r="E52" s="9">
        <f>B52*D52</f>
        <v/>
      </c>
      <c r="F52" s="9">
        <f>C52*D52</f>
        <v/>
      </c>
      <c r="G52" s="6" t="n">
        <v>4885416.403441192</v>
      </c>
      <c r="H52" s="5" t="n">
        <v>38410141.44381155</v>
      </c>
      <c r="I52" s="9">
        <f>H52*38.36*0.012</f>
        <v/>
      </c>
      <c r="J52" s="9">
        <f>((182.35967559172548*D52)*0.34/(12157310.490383862+1))*52</f>
        <v/>
      </c>
      <c r="K52" s="8">
        <f>0.35*0.012</f>
        <v/>
      </c>
      <c r="L52" s="10">
        <f>J52/K52</f>
        <v/>
      </c>
    </row>
    <row r="53">
      <c r="A53" s="7" t="n">
        <v>49</v>
      </c>
      <c r="B53" s="6" t="n">
        <v>8857124.761328621</v>
      </c>
      <c r="C53" s="6" t="n">
        <v>6186692.410094705</v>
      </c>
      <c r="D53" s="8" t="n">
        <v>0.106389779940547</v>
      </c>
      <c r="E53" s="9">
        <f>B53*D53</f>
        <v/>
      </c>
      <c r="F53" s="9">
        <f>C53*D53</f>
        <v/>
      </c>
      <c r="G53" s="6" t="n">
        <v>4903870.051918445</v>
      </c>
      <c r="H53" s="5" t="n">
        <v>39049139.67045198</v>
      </c>
      <c r="I53" s="9">
        <f>H53*38.36*0.012</f>
        <v/>
      </c>
      <c r="J53" s="9">
        <f>((176.90367384335806*D53)*0.34/(11793577.076866046+1))*52</f>
        <v/>
      </c>
      <c r="K53" s="8">
        <f>0.35*0.012</f>
        <v/>
      </c>
      <c r="L53" s="10">
        <f>J53/K53</f>
        <v/>
      </c>
    </row>
    <row r="54">
      <c r="A54" s="7" t="n">
        <v>50</v>
      </c>
      <c r="B54" s="6" t="n">
        <v>8854700.291196676</v>
      </c>
      <c r="C54" s="6" t="n">
        <v>6193093.432157359</v>
      </c>
      <c r="D54" s="8" t="n">
        <v>0.1061080650222921</v>
      </c>
      <c r="E54" s="9">
        <f>B54*D54</f>
        <v/>
      </c>
      <c r="F54" s="9">
        <f>C54*D54</f>
        <v/>
      </c>
      <c r="G54" s="6" t="n">
        <v>4911920.482919826</v>
      </c>
      <c r="H54" s="5" t="n">
        <v>39659468.3155583</v>
      </c>
      <c r="I54" s="9">
        <f>H54*38.36*0.012</f>
        <v/>
      </c>
      <c r="J54" s="9">
        <f>((171.41988058180604*D54)*0.34/(11427990.895987866+1))*52</f>
        <v/>
      </c>
      <c r="K54" s="8">
        <f>0.35*0.012</f>
        <v/>
      </c>
      <c r="L54" s="10">
        <f>J54/K54</f>
        <v/>
      </c>
    </row>
    <row r="55">
      <c r="A55" s="7" t="n">
        <v>51</v>
      </c>
      <c r="B55" s="6" t="n">
        <v>8857276.691908887</v>
      </c>
      <c r="C55" s="6" t="n">
        <v>6193920.452183295</v>
      </c>
      <c r="D55" s="8" t="n">
        <v>0.1059431449012631</v>
      </c>
      <c r="E55" s="9">
        <f>B55*D55</f>
        <v/>
      </c>
      <c r="F55" s="9">
        <f>C55*D55</f>
        <v/>
      </c>
      <c r="G55" s="6" t="n">
        <v>4925045.535469827</v>
      </c>
      <c r="H55" s="5" t="n">
        <v>40243071.4760955</v>
      </c>
      <c r="I55" s="9">
        <f>H55*38.36*0.012</f>
        <v/>
      </c>
      <c r="J55" s="9">
        <f>((165.9499569015758*D55)*0.34/(11063329.353772009+1))*52</f>
        <v/>
      </c>
      <c r="K55" s="8">
        <f>0.35*0.012</f>
        <v/>
      </c>
      <c r="L55" s="10">
        <f>J55/K55</f>
        <v/>
      </c>
    </row>
    <row r="56">
      <c r="A56" s="7" t="n">
        <v>52</v>
      </c>
      <c r="B56" s="6" t="n">
        <v>8879853.292574961</v>
      </c>
      <c r="C56" s="6" t="n">
        <v>6174933.115692433</v>
      </c>
      <c r="D56" s="8" t="n">
        <v>0.1057911500256319</v>
      </c>
      <c r="E56" s="9">
        <f>B56*D56</f>
        <v/>
      </c>
      <c r="F56" s="9">
        <f>C56*D56</f>
        <v/>
      </c>
      <c r="G56" s="6" t="n">
        <v>4938205.812450456</v>
      </c>
      <c r="H56" s="5" t="n">
        <v>40801938.52720957</v>
      </c>
      <c r="I56" s="9">
        <f>H56*38.36*0.012</f>
        <v/>
      </c>
      <c r="J56" s="9">
        <f>((160.5323033514337*D56)*0.34/(10702152.486546893+1))*52</f>
        <v/>
      </c>
      <c r="K56" s="8">
        <f>0.35*0.012</f>
        <v/>
      </c>
      <c r="L56" s="10">
        <f>J56/K56</f>
        <v/>
      </c>
    </row>
    <row r="57">
      <c r="A57" s="7" t="n">
        <v>53</v>
      </c>
      <c r="B57" s="6" t="n">
        <v>8892430.413999714</v>
      </c>
      <c r="C57" s="6" t="n">
        <v>6166314.714763334</v>
      </c>
      <c r="D57" s="8" t="n">
        <v>0.1056225283613605</v>
      </c>
      <c r="E57" s="9">
        <f>B57*D57</f>
        <v/>
      </c>
      <c r="F57" s="9">
        <f>C57*D57</f>
        <v/>
      </c>
      <c r="G57" s="6" t="n">
        <v>4950953.96762901</v>
      </c>
      <c r="H57" s="5" t="n">
        <v>41338066.2093132</v>
      </c>
      <c r="I57" s="9">
        <f>H57*38.36*0.012</f>
        <v/>
      </c>
      <c r="J57" s="9">
        <f>((155.20162773061847*D57)*0.34/(10346774.147363715+1))*52</f>
        <v/>
      </c>
      <c r="K57" s="8">
        <f>0.35*0.012</f>
        <v/>
      </c>
      <c r="L57" s="10">
        <f>J57/K57</f>
        <v/>
      </c>
    </row>
    <row r="58">
      <c r="A58" s="7" t="n">
        <v>54</v>
      </c>
      <c r="B58" s="6" t="n">
        <v>8955006.49113192</v>
      </c>
      <c r="C58" s="6" t="n">
        <v>6107996.829483994</v>
      </c>
      <c r="D58" s="8" t="n">
        <v>0.1052480625802415</v>
      </c>
      <c r="E58" s="9">
        <f>B58*D58</f>
        <v/>
      </c>
      <c r="F58" s="9">
        <f>C58*D58</f>
        <v/>
      </c>
      <c r="G58" s="6" t="n">
        <v>4953764.388199022</v>
      </c>
      <c r="H58" s="5" t="n">
        <v>41853426.95044529</v>
      </c>
      <c r="I58" s="9">
        <f>H58*38.36*0.012</f>
        <v/>
      </c>
      <c r="J58" s="9">
        <f>((149.98868081092024*D58)*0.34/(9999244.387470145+1))*52</f>
        <v/>
      </c>
      <c r="K58" s="8">
        <f>0.35*0.012</f>
        <v/>
      </c>
      <c r="L58" s="10">
        <f>J58/K58</f>
        <v/>
      </c>
    </row>
    <row r="59">
      <c r="A59" s="7" t="n">
        <v>55</v>
      </c>
      <c r="B59" s="6" t="n">
        <v>9082579.627729941</v>
      </c>
      <c r="C59" s="6" t="n">
        <v>5985458.265464408</v>
      </c>
      <c r="D59" s="8" t="n">
        <v>0.104893894209978</v>
      </c>
      <c r="E59" s="9">
        <f>B59*D59</f>
        <v/>
      </c>
      <c r="F59" s="9">
        <f>C59*D59</f>
        <v/>
      </c>
      <c r="G59" s="6" t="n">
        <v>4956661.206791528</v>
      </c>
      <c r="H59" s="5" t="n">
        <v>42349943.10592458</v>
      </c>
      <c r="I59" s="9">
        <f>H59*38.36*0.012</f>
        <v/>
      </c>
      <c r="J59" s="9">
        <f>((144.92013683244627*D59)*0.34/(9661341.489362173+1))*52</f>
        <v/>
      </c>
      <c r="K59" s="8">
        <f>0.35*0.012</f>
        <v/>
      </c>
      <c r="L59" s="10">
        <f>J59/K59</f>
        <v/>
      </c>
    </row>
    <row r="60">
      <c r="A60" s="7" t="n">
        <v>56</v>
      </c>
      <c r="B60" s="6" t="n">
        <v>9215149.627728838</v>
      </c>
      <c r="C60" s="6" t="n">
        <v>5856526.485473379</v>
      </c>
      <c r="D60" s="8" t="n">
        <v>0.1046224774296439</v>
      </c>
      <c r="E60" s="9">
        <f>B60*D60</f>
        <v/>
      </c>
      <c r="F60" s="9">
        <f>C60*D60</f>
        <v/>
      </c>
      <c r="G60" s="6" t="n">
        <v>4964233.433198658</v>
      </c>
      <c r="H60" s="5" t="n">
        <v>42829466.64292319</v>
      </c>
      <c r="I60" s="9">
        <f>H60*38.36*0.012</f>
        <v/>
      </c>
      <c r="J60" s="9">
        <f>((140.01859484822106*D60)*0.34/(9334572.056424106+1))*52</f>
        <v/>
      </c>
      <c r="K60" s="8">
        <f>0.35*0.012</f>
        <v/>
      </c>
      <c r="L60" s="10">
        <f>J60/K60</f>
        <v/>
      </c>
    </row>
    <row r="61">
      <c r="A61" s="7" t="n">
        <v>57</v>
      </c>
      <c r="B61" s="6" t="n">
        <v>9312717.57536584</v>
      </c>
      <c r="C61" s="6" t="n">
        <v>5763394.644794644</v>
      </c>
      <c r="D61" s="8" t="n">
        <v>0.1043406163583426</v>
      </c>
      <c r="E61" s="9">
        <f>B61*D61</f>
        <v/>
      </c>
      <c r="F61" s="9">
        <f>C61*D61</f>
        <v/>
      </c>
      <c r="G61" s="6" t="n">
        <v>4971905.537861906</v>
      </c>
      <c r="H61" s="5" t="n">
        <v>43293763.70488986</v>
      </c>
      <c r="I61" s="9">
        <f>H61*38.36*0.012</f>
        <v/>
      </c>
      <c r="J61" s="9">
        <f>((135.3026775313266*D61)*0.34/(9020177.60007059+1))*52</f>
        <v/>
      </c>
      <c r="K61" s="8">
        <f>0.35*0.012</f>
        <v/>
      </c>
      <c r="L61" s="10">
        <f>J61/K61</f>
        <v/>
      </c>
    </row>
    <row r="62">
      <c r="A62" s="7" t="n">
        <v>58</v>
      </c>
      <c r="B62" s="6" t="n">
        <v>9315286.41590804</v>
      </c>
      <c r="C62" s="6" t="n">
        <v>5765162.168136844</v>
      </c>
      <c r="D62" s="8" t="n">
        <v>0.1039499276921448</v>
      </c>
      <c r="E62" s="9">
        <f>B62*D62</f>
        <v/>
      </c>
      <c r="F62" s="9">
        <f>C62*D62</f>
        <v/>
      </c>
      <c r="G62" s="6" t="n">
        <v>4974725.607125802</v>
      </c>
      <c r="H62" s="5" t="n">
        <v>43744503.44808374</v>
      </c>
      <c r="I62" s="9">
        <f>H62*38.36*0.012</f>
        <v/>
      </c>
      <c r="J62" s="9">
        <f>((130.7872055435512*D62)*0.34/(8719146.164322045+1))*52</f>
        <v/>
      </c>
      <c r="K62" s="8">
        <f>0.35*0.012</f>
        <v/>
      </c>
      <c r="L62" s="10">
        <f>J62/K62</f>
        <v/>
      </c>
    </row>
    <row r="63">
      <c r="A63" s="7" t="n">
        <v>59</v>
      </c>
      <c r="B63" s="6" t="n">
        <v>9322856.023626864</v>
      </c>
      <c r="C63" s="6" t="n">
        <v>5761228.29963606</v>
      </c>
      <c r="D63" s="8" t="n">
        <v>0.1037910608324655</v>
      </c>
      <c r="E63" s="9">
        <f>B63*D63</f>
        <v/>
      </c>
      <c r="F63" s="9">
        <f>C63*D63</f>
        <v/>
      </c>
      <c r="G63" s="6" t="n">
        <v>4987151.762317252</v>
      </c>
      <c r="H63" s="5" t="n">
        <v>44183250.5382292</v>
      </c>
      <c r="I63" s="9">
        <f>H63*38.36*0.012</f>
        <v/>
      </c>
      <c r="J63" s="9">
        <f>((126.4834276695994*D63)*0.34/(8432227.668083776+1))*52</f>
        <v/>
      </c>
      <c r="K63" s="8">
        <f>0.35*0.012</f>
        <v/>
      </c>
      <c r="L63" s="10">
        <f>J63/K63</f>
        <v/>
      </c>
    </row>
    <row r="64">
      <c r="A64" s="7" t="n">
        <v>60</v>
      </c>
      <c r="B64" s="6" t="n">
        <v>9330426.313409667</v>
      </c>
      <c r="C64" s="6" t="n">
        <v>5757833.631632706</v>
      </c>
      <c r="D64" s="8" t="n">
        <v>0.1035301690396357</v>
      </c>
      <c r="E64" s="9">
        <f>B64*D64</f>
        <v/>
      </c>
      <c r="F64" s="9">
        <f>C64*D64</f>
        <v/>
      </c>
      <c r="G64" s="6" t="n">
        <v>4994795.004417391</v>
      </c>
      <c r="H64" s="5" t="n">
        <v>44611460.71882837</v>
      </c>
      <c r="I64" s="9">
        <f>H64*38.36*0.012</f>
        <v/>
      </c>
      <c r="J64" s="9">
        <f>((122.39928937104334*D64)*0.34/(8159951.80874096+1))*52</f>
        <v/>
      </c>
      <c r="K64" s="8">
        <f>0.35*0.012</f>
        <v/>
      </c>
      <c r="L64" s="10">
        <f>J64/K64</f>
        <v/>
      </c>
    </row>
    <row r="65">
      <c r="A65" s="7" t="n">
        <v>61</v>
      </c>
      <c r="B65" s="6" t="n">
        <v>9327997.648417382</v>
      </c>
      <c r="C65" s="6" t="n">
        <v>5764736.244950168</v>
      </c>
      <c r="D65" s="8" t="n">
        <v>0.1032555119279728</v>
      </c>
      <c r="E65" s="9">
        <f>B65*D65</f>
        <v/>
      </c>
      <c r="F65" s="9">
        <f>C65*D65</f>
        <v/>
      </c>
      <c r="G65" s="6" t="n">
        <v>5002446.781316718</v>
      </c>
      <c r="H65" s="5" t="n">
        <v>45030478.9048055</v>
      </c>
      <c r="I65" s="9">
        <f>H65*38.36*0.012</f>
        <v/>
      </c>
      <c r="J65" s="9">
        <f>((118.53972499151793*D65)*0.34/(7902647.542503029+1))*52</f>
        <v/>
      </c>
      <c r="K65" s="8">
        <f>0.35*0.012</f>
        <v/>
      </c>
      <c r="L65" s="10">
        <f>J65/K65</f>
        <v/>
      </c>
    </row>
    <row r="66">
      <c r="A66" s="7" t="n">
        <v>62</v>
      </c>
      <c r="B66" s="6" t="n">
        <v>9325570.010972057</v>
      </c>
      <c r="C66" s="6" t="n">
        <v>5771384.435311727</v>
      </c>
      <c r="D66" s="8" t="n">
        <v>0.1029859498703973</v>
      </c>
      <c r="E66" s="9">
        <f>B66*D66</f>
        <v/>
      </c>
      <c r="F66" s="9">
        <f>C66*D66</f>
        <v/>
      </c>
      <c r="G66" s="6" t="n">
        <v>5010051.622427089</v>
      </c>
      <c r="H66" s="5" t="n">
        <v>45441539.30841394</v>
      </c>
      <c r="I66" s="9">
        <f>H66*38.36*0.012</f>
        <v/>
      </c>
      <c r="J66" s="9">
        <f>((114.90696138665585*D66)*0.34/(7660463.326397315+1))*52</f>
        <v/>
      </c>
      <c r="K66" s="8">
        <f>0.35*0.012</f>
        <v/>
      </c>
      <c r="L66" s="10">
        <f>J66/K66</f>
        <v/>
      </c>
    </row>
    <row r="67">
      <c r="A67" s="7" t="n">
        <v>63</v>
      </c>
      <c r="B67" s="6" t="n">
        <v>9323143.370323319</v>
      </c>
      <c r="C67" s="6" t="n">
        <v>5777442.264304143</v>
      </c>
      <c r="D67" s="8" t="n">
        <v>0.1027287278392159</v>
      </c>
      <c r="E67" s="9">
        <f>B67*D67</f>
        <v/>
      </c>
      <c r="F67" s="9">
        <f>C67*D67</f>
        <v/>
      </c>
      <c r="G67" s="6" t="n">
        <v>5017670.618763931</v>
      </c>
      <c r="H67" s="5" t="n">
        <v>45845767.16288029</v>
      </c>
      <c r="I67" s="9">
        <f>H67*38.36*0.012</f>
        <v/>
      </c>
      <c r="J67" s="9">
        <f>((111.50082314577303*D67)*0.34/(7433387.466379382+1))*52</f>
        <v/>
      </c>
      <c r="K67" s="8">
        <f>0.35*0.012</f>
        <v/>
      </c>
      <c r="L67" s="10">
        <f>J67/K67</f>
        <v/>
      </c>
    </row>
    <row r="68">
      <c r="A68" s="7" t="n">
        <v>64</v>
      </c>
      <c r="B68" s="6" t="n">
        <v>9320717.734788721</v>
      </c>
      <c r="C68" s="6" t="n">
        <v>5783873.180323821</v>
      </c>
      <c r="D68" s="8" t="n">
        <v>0.1024758330053692</v>
      </c>
      <c r="E68" s="9">
        <f>B68*D68</f>
        <v/>
      </c>
      <c r="F68" s="9">
        <f>C68*D68</f>
        <v/>
      </c>
      <c r="G68" s="6" t="n">
        <v>5025242.70287485</v>
      </c>
      <c r="H68" s="5" t="n">
        <v>46244181.6687691</v>
      </c>
      <c r="I68" s="9">
        <f>H68*38.36*0.012</f>
        <v/>
      </c>
      <c r="J68" s="9">
        <f>((108.31903174580111*D68)*0.34/(7221268.06092653+1))*52</f>
        <v/>
      </c>
      <c r="K68" s="8">
        <f>0.35*0.012</f>
        <v/>
      </c>
      <c r="L68" s="10">
        <f>J68/K68</f>
        <v/>
      </c>
    </row>
    <row r="69">
      <c r="A69" s="7" t="n">
        <v>65</v>
      </c>
      <c r="B69" s="6" t="n">
        <v>9318293.122880861</v>
      </c>
      <c r="C69" s="6" t="n">
        <v>5789772.823237511</v>
      </c>
      <c r="D69" s="8" t="n">
        <v>0.1027382234504604</v>
      </c>
      <c r="E69" s="9">
        <f>B69*D69</f>
        <v/>
      </c>
      <c r="F69" s="9">
        <f>C69*D69</f>
        <v/>
      </c>
      <c r="G69" s="6" t="n">
        <v>5057007.017800714</v>
      </c>
      <c r="H69" s="5" t="n">
        <v>53923949.84550212</v>
      </c>
      <c r="I69" s="9">
        <f>H69*38.36*0.012</f>
        <v/>
      </c>
      <c r="J69" s="9">
        <f>((251.08250746541935*D69)*0.34/(16738832.157144576+1))*52</f>
        <v/>
      </c>
      <c r="K69" s="8">
        <f>0.35*0.012</f>
        <v/>
      </c>
      <c r="L69" s="10">
        <f>J69/K69</f>
        <v/>
      </c>
    </row>
    <row r="70">
      <c r="A70" s="7" t="n">
        <v>66</v>
      </c>
      <c r="B70" s="6" t="n">
        <v>9315869.30168247</v>
      </c>
      <c r="C70" s="6" t="n">
        <v>5794617.544467143</v>
      </c>
      <c r="D70" s="8" t="n">
        <v>0.1033711094500915</v>
      </c>
      <c r="E70" s="9">
        <f>B70*D70</f>
        <v/>
      </c>
      <c r="F70" s="9">
        <f>C70*D70</f>
        <v/>
      </c>
      <c r="G70" s="6" t="n">
        <v>5107919.121635129</v>
      </c>
      <c r="H70" s="5" t="n">
        <v>52856141.02389181</v>
      </c>
      <c r="I70" s="9">
        <f>H70*38.36*0.012</f>
        <v/>
      </c>
      <c r="J70" s="9">
        <f>((225.97425671887746*D70)*0.34/(15064948.94143012+1))*52</f>
        <v/>
      </c>
      <c r="K70" s="8">
        <f>0.35*0.012</f>
        <v/>
      </c>
      <c r="L70" s="10">
        <f>J70/K70</f>
        <v/>
      </c>
    </row>
    <row r="71">
      <c r="A71" s="7" t="n">
        <v>67</v>
      </c>
      <c r="B71" s="6" t="n">
        <v>9313446.053528197</v>
      </c>
      <c r="C71" s="6" t="n">
        <v>5797584.271317042</v>
      </c>
      <c r="D71" s="8" t="n">
        <v>0.1043614951816864</v>
      </c>
      <c r="E71" s="9">
        <f>B71*D71</f>
        <v/>
      </c>
      <c r="F71" s="9">
        <f>C71*D71</f>
        <v/>
      </c>
      <c r="G71" s="6" t="n">
        <v>5178116.809699737</v>
      </c>
      <c r="H71" s="5" t="n">
        <v>52076431.76380985</v>
      </c>
      <c r="I71" s="9">
        <f>H71*38.36*0.012</f>
        <v/>
      </c>
      <c r="J71" s="9">
        <f>((203.3768310469897*D71)*0.34/(13558454.047287108+1))*52</f>
        <v/>
      </c>
      <c r="K71" s="8">
        <f>0.35*0.012</f>
        <v/>
      </c>
      <c r="L71" s="10">
        <f>J71/K71</f>
        <v/>
      </c>
    </row>
    <row r="72">
      <c r="A72" s="7" t="n">
        <v>68</v>
      </c>
      <c r="B72" s="6" t="n">
        <v>9316023.063212035</v>
      </c>
      <c r="C72" s="6" t="n">
        <v>5797453.414354557</v>
      </c>
      <c r="D72" s="8" t="n">
        <v>0.1046867714861595</v>
      </c>
      <c r="E72" s="9">
        <f>B72*D72</f>
        <v/>
      </c>
      <c r="F72" s="9">
        <f>C72*D72</f>
        <v/>
      </c>
      <c r="G72" s="6" t="n">
        <v>5214195.642107035</v>
      </c>
      <c r="H72" s="5" t="n">
        <v>51527171.02368608</v>
      </c>
      <c r="I72" s="9">
        <f>H72*38.36*0.012</f>
        <v/>
      </c>
      <c r="J72" s="9">
        <f>((183.03914794229075*D72)*0.34/(12202608.642558398+1))*52</f>
        <v/>
      </c>
      <c r="K72" s="8">
        <f>0.35*0.012</f>
        <v/>
      </c>
      <c r="L72" s="10">
        <f>J72/K72</f>
        <v/>
      </c>
    </row>
    <row r="73">
      <c r="A73" s="7" t="n">
        <v>69</v>
      </c>
      <c r="B73" s="6" t="n">
        <v>9318600.643271551</v>
      </c>
      <c r="C73" s="6" t="n">
        <v>5797394.811195638</v>
      </c>
      <c r="D73" s="8" t="n">
        <v>0.1049971736614388</v>
      </c>
      <c r="E73" s="9">
        <f>B73*D73</f>
        <v/>
      </c>
      <c r="F73" s="9">
        <f>C73*D73</f>
        <v/>
      </c>
      <c r="G73" s="6" t="n">
        <v>5250555.482688689</v>
      </c>
      <c r="H73" s="5" t="n">
        <v>51162283.44533855</v>
      </c>
      <c r="I73" s="9">
        <f>H73*38.36*0.012</f>
        <v/>
      </c>
      <c r="J73" s="9">
        <f>((164.73523314806167*D73)*0.34/(10982347.778302558+1))*52</f>
        <v/>
      </c>
      <c r="K73" s="8">
        <f>0.35*0.012</f>
        <v/>
      </c>
      <c r="L73" s="10">
        <f>J73/K73</f>
        <v/>
      </c>
    </row>
    <row r="74">
      <c r="A74" s="7" t="n">
        <v>70</v>
      </c>
      <c r="B74" s="6" t="n">
        <v>9391176.737928823</v>
      </c>
      <c r="C74" s="6" t="n">
        <v>5726369.386679157</v>
      </c>
      <c r="D74" s="8" t="n">
        <v>0.1059619209921049</v>
      </c>
      <c r="E74" s="9">
        <f>B74*D74</f>
        <v/>
      </c>
      <c r="F74" s="9">
        <f>C74*D74</f>
        <v/>
      </c>
      <c r="G74" s="6" t="n">
        <v>5318806.377211201</v>
      </c>
      <c r="H74" s="5" t="n">
        <v>50944943.0488901</v>
      </c>
      <c r="I74" s="9">
        <f>H74*38.36*0.012</f>
        <v/>
      </c>
      <c r="J74" s="9">
        <f>((148.26170983325548*D74)*0.34/(9884113.000472302+1))*52</f>
        <v/>
      </c>
      <c r="K74" s="8">
        <f>0.35*0.012</f>
        <v/>
      </c>
      <c r="L74" s="10">
        <f>J74/K74</f>
        <v/>
      </c>
    </row>
    <row r="75">
      <c r="A75" s="7" t="n">
        <v>71</v>
      </c>
      <c r="B75" s="6" t="n">
        <v>9468750.925561519</v>
      </c>
      <c r="C75" s="6" t="n">
        <v>5650963.194387514</v>
      </c>
      <c r="D75" s="8" t="n">
        <v>0.1068588946096279</v>
      </c>
      <c r="E75" s="9">
        <f>B75*D75</f>
        <v/>
      </c>
      <c r="F75" s="9">
        <f>C75*D75</f>
        <v/>
      </c>
      <c r="G75" s="6" t="n">
        <v>5384206.622322734</v>
      </c>
      <c r="H75" s="5" t="n">
        <v>50845713.17863147</v>
      </c>
      <c r="I75" s="9">
        <f>H75*38.36*0.012</f>
        <v/>
      </c>
      <c r="J75" s="9">
        <f>((133.43553884992994*D75)*0.34/(8895701.700425072+1))*52</f>
        <v/>
      </c>
      <c r="K75" s="8">
        <f>0.35*0.012</f>
        <v/>
      </c>
      <c r="L75" s="10">
        <f>J75/K75</f>
        <v/>
      </c>
    </row>
    <row r="76">
      <c r="A76" s="7" t="n">
        <v>72</v>
      </c>
      <c r="B76" s="6" t="n">
        <v>9491324.83105725</v>
      </c>
      <c r="C76" s="6" t="n">
        <v>5632221.715211841</v>
      </c>
      <c r="D76" s="8" t="n">
        <v>0.1067369910396074</v>
      </c>
      <c r="E76" s="9">
        <f>B76*D76</f>
        <v/>
      </c>
      <c r="F76" s="9">
        <f>C76*D76</f>
        <v/>
      </c>
      <c r="G76" s="6" t="n">
        <v>5400093.652439343</v>
      </c>
      <c r="H76" s="5" t="n">
        <v>50841059.3781531</v>
      </c>
      <c r="I76" s="9">
        <f>H76*38.36*0.012</f>
        <v/>
      </c>
      <c r="J76" s="9">
        <f>((120.09198496493696*D76)*0.34/(8006131.530382564+1))*52</f>
        <v/>
      </c>
      <c r="K76" s="8">
        <f>0.35*0.012</f>
        <v/>
      </c>
      <c r="L76" s="10">
        <f>J76/K76</f>
        <v/>
      </c>
    </row>
    <row r="77">
      <c r="A77" s="7" t="n">
        <v>73</v>
      </c>
      <c r="B77" s="6" t="n">
        <v>9548897.875023663</v>
      </c>
      <c r="C77" s="6" t="n">
        <v>5578898.149656076</v>
      </c>
      <c r="D77" s="8" t="n">
        <v>0.1064679030291351</v>
      </c>
      <c r="E77" s="9">
        <f>B77*D77</f>
        <v/>
      </c>
      <c r="F77" s="9">
        <f>C77*D77</f>
        <v/>
      </c>
      <c r="G77" s="6" t="n">
        <v>5407246.938464346</v>
      </c>
      <c r="H77" s="5" t="n">
        <v>49689730.64243604</v>
      </c>
      <c r="I77" s="9">
        <f>H77*38.36*0.012</f>
        <v/>
      </c>
      <c r="J77" s="9">
        <f>((108.08278646844326*D77)*0.34/(7205518.377344308+1))*52</f>
        <v/>
      </c>
      <c r="K77" s="8">
        <f>0.35*0.012</f>
        <v/>
      </c>
      <c r="L77" s="10">
        <f>J77/K77</f>
        <v/>
      </c>
    </row>
    <row r="78">
      <c r="A78" s="7" t="n">
        <v>74</v>
      </c>
      <c r="B78" s="6" t="n">
        <v>9641469.099578667</v>
      </c>
      <c r="C78" s="6" t="n">
        <v>5490709.471175884</v>
      </c>
      <c r="D78" s="8" t="n">
        <v>0.1061068887198379</v>
      </c>
      <c r="E78" s="9">
        <f>B78*D78</f>
        <v/>
      </c>
      <c r="F78" s="9">
        <f>C78*D78</f>
        <v/>
      </c>
      <c r="G78" s="6" t="n">
        <v>5410071.411241349</v>
      </c>
      <c r="H78" s="5" t="n">
        <v>50066014.71641644</v>
      </c>
      <c r="I78" s="9">
        <f>H78*38.36*0.012</f>
        <v/>
      </c>
      <c r="J78" s="9">
        <f>((104.80019005377513*D78)*0.34/(6986678.638250409+1))*52</f>
        <v/>
      </c>
      <c r="K78" s="8">
        <f>0.35*0.012</f>
        <v/>
      </c>
      <c r="L78" s="10">
        <f>J78/K78</f>
        <v/>
      </c>
    </row>
    <row r="79">
      <c r="A79" s="7" t="n">
        <v>75</v>
      </c>
      <c r="B79" s="6" t="n">
        <v>9729038.700021548</v>
      </c>
      <c r="C79" s="6" t="n">
        <v>5407188.13875617</v>
      </c>
      <c r="D79" s="8" t="n">
        <v>0.1058952561939835</v>
      </c>
      <c r="E79" s="9">
        <f>B79*D79</f>
        <v/>
      </c>
      <c r="F79" s="9">
        <f>C79*D79</f>
        <v/>
      </c>
      <c r="G79" s="6" t="n">
        <v>5421642.167815918</v>
      </c>
      <c r="H79" s="5" t="n">
        <v>50442044.06434637</v>
      </c>
      <c r="I79" s="9">
        <f>H79*38.36*0.012</f>
        <v/>
      </c>
      <c r="J79" s="9">
        <f>((101.84075875905506*D79)*0.34/(6789383.238331947+1))*52</f>
        <v/>
      </c>
      <c r="K79" s="8">
        <f>0.35*0.012</f>
        <v/>
      </c>
      <c r="L79" s="10">
        <f>J79/K79</f>
        <v/>
      </c>
    </row>
    <row r="80">
      <c r="A80" s="7" t="n">
        <v>76</v>
      </c>
      <c r="B80" s="6" t="n">
        <v>9786607.469465725</v>
      </c>
      <c r="C80" s="6" t="n">
        <v>5353266.243723474</v>
      </c>
      <c r="D80" s="8" t="n">
        <v>0.1057048411214058</v>
      </c>
      <c r="E80" s="9">
        <f>B80*D80</f>
        <v/>
      </c>
      <c r="F80" s="9">
        <f>C80*D80</f>
        <v/>
      </c>
      <c r="G80" s="6" t="n">
        <v>5433211.085379043</v>
      </c>
      <c r="H80" s="5" t="n">
        <v>50817940.34254874</v>
      </c>
      <c r="I80" s="9">
        <f>H80*38.36*0.012</f>
        <v/>
      </c>
      <c r="J80" s="9">
        <f>((99.17460919898951*D80)*0.34/(6611639.952101907+1))*52</f>
        <v/>
      </c>
      <c r="K80" s="8">
        <f>0.35*0.012</f>
        <v/>
      </c>
      <c r="L80" s="10">
        <f>J80/K80</f>
        <v/>
      </c>
    </row>
    <row r="81">
      <c r="A81" s="7" t="n">
        <v>77</v>
      </c>
      <c r="B81" s="6" t="n">
        <v>9789177.006562617</v>
      </c>
      <c r="C81" s="6" t="n">
        <v>5353410.233144403</v>
      </c>
      <c r="D81" s="8" t="n">
        <v>0.1055910883955387</v>
      </c>
      <c r="E81" s="9">
        <f>B81*D81</f>
        <v/>
      </c>
      <c r="F81" s="9">
        <f>C81*D81</f>
        <v/>
      </c>
      <c r="G81" s="6" t="n">
        <v>5449084.746484148</v>
      </c>
      <c r="H81" s="5" t="n">
        <v>51193781.11834303</v>
      </c>
      <c r="I81" s="9">
        <f>H81*38.36*0.012</f>
        <v/>
      </c>
      <c r="J81" s="9">
        <f>((96.773964546658*D81)*0.34/(6451596.991284103+1))*52</f>
        <v/>
      </c>
      <c r="K81" s="8">
        <f>0.35*0.012</f>
        <v/>
      </c>
      <c r="L81" s="10">
        <f>J81/K81</f>
        <v/>
      </c>
    </row>
    <row r="82">
      <c r="A82" s="7" t="n">
        <v>78</v>
      </c>
      <c r="B82" s="6" t="n">
        <v>9786747.435643405</v>
      </c>
      <c r="C82" s="6" t="n">
        <v>5359478.846645105</v>
      </c>
      <c r="D82" s="8" t="n">
        <v>0.1053029017045356</v>
      </c>
      <c r="E82" s="9">
        <f>B82*D82</f>
        <v/>
      </c>
      <c r="F82" s="9">
        <f>C82*D82</f>
        <v/>
      </c>
      <c r="G82" s="6" t="n">
        <v>5456212.75223691</v>
      </c>
      <c r="H82" s="5" t="n">
        <v>51569603.7503846</v>
      </c>
      <c r="I82" s="9">
        <f>H82*38.36*0.012</f>
        <v/>
      </c>
      <c r="J82" s="9">
        <f>((94.61302148446886*D82)*0.34/(6307534.134877781+1))*52</f>
        <v/>
      </c>
      <c r="K82" s="8">
        <f>0.35*0.012</f>
        <v/>
      </c>
      <c r="L82" s="10">
        <f>J82/K82</f>
        <v/>
      </c>
    </row>
    <row r="83">
      <c r="A83" s="7" t="n">
        <v>79</v>
      </c>
      <c r="B83" s="6" t="n">
        <v>9784318.865470473</v>
      </c>
      <c r="C83" s="6" t="n">
        <v>5365872.323467598</v>
      </c>
      <c r="D83" s="8" t="n">
        <v>0.1052875088855157</v>
      </c>
      <c r="E83" s="9">
        <f>B83*D83</f>
        <v/>
      </c>
      <c r="F83" s="9">
        <f>C83*D83</f>
        <v/>
      </c>
      <c r="G83" s="6" t="n">
        <v>5476526.844965751</v>
      </c>
      <c r="H83" s="5" t="n">
        <v>51945409.06074713</v>
      </c>
      <c r="I83" s="9">
        <f>H83*38.36*0.012</f>
        <v/>
      </c>
      <c r="J83" s="9">
        <f>((92.6678262948834*D83)*0.34/(6177854.468540052+1))*52</f>
        <v/>
      </c>
      <c r="K83" s="8">
        <f>0.35*0.012</f>
        <v/>
      </c>
      <c r="L83" s="10">
        <f>J83/K83</f>
        <v/>
      </c>
    </row>
    <row r="84">
      <c r="A84" s="7" t="n">
        <v>80</v>
      </c>
      <c r="B84" s="6" t="n">
        <v>9781891.188478952</v>
      </c>
      <c r="C84" s="6" t="n">
        <v>5373470.376106974</v>
      </c>
      <c r="D84" s="8" t="n">
        <v>0.1049234106197953</v>
      </c>
      <c r="E84" s="9">
        <f>B84*D84</f>
        <v/>
      </c>
      <c r="F84" s="9">
        <f>C84*D84</f>
        <v/>
      </c>
      <c r="G84" s="6" t="n">
        <v>5479438.880991536</v>
      </c>
      <c r="H84" s="5" t="n">
        <v>52321164.8070678</v>
      </c>
      <c r="I84" s="9">
        <f>H84*38.36*0.012</f>
        <v/>
      </c>
      <c r="J84" s="9">
        <f>((90.91615934331986*D84)*0.34/(6061076.683446929+1))*52</f>
        <v/>
      </c>
      <c r="K84" s="8">
        <f>0.35*0.012</f>
        <v/>
      </c>
      <c r="L84" s="10">
        <f>J84/K84</f>
        <v/>
      </c>
    </row>
    <row r="85">
      <c r="A85" s="7" t="n">
        <v>81</v>
      </c>
      <c r="B85" s="6" t="n">
        <v>9779464.520463286</v>
      </c>
      <c r="C85" s="6" t="n">
        <v>5379592.166319671</v>
      </c>
      <c r="D85" s="8" t="n">
        <v>0.1048249386767774</v>
      </c>
      <c r="E85" s="9">
        <f>B85*D85</f>
        <v/>
      </c>
      <c r="F85" s="9">
        <f>C85*D85</f>
        <v/>
      </c>
      <c r="G85" s="6" t="n">
        <v>5495273.807864155</v>
      </c>
      <c r="H85" s="5" t="n">
        <v>52696808.96420932</v>
      </c>
      <c r="I85" s="9">
        <f>H85*38.36*0.012</f>
        <v/>
      </c>
      <c r="J85" s="9">
        <f>((89.33742730310671*D85)*0.34/(5955827.891290932+1))*52</f>
        <v/>
      </c>
      <c r="K85" s="8">
        <f>0.35*0.012</f>
        <v/>
      </c>
      <c r="L85" s="10">
        <f>J85/K85</f>
        <v/>
      </c>
    </row>
    <row r="86">
      <c r="A86" s="7" t="n">
        <v>82</v>
      </c>
      <c r="B86" s="6" t="n">
        <v>9777038.746711938</v>
      </c>
      <c r="C86" s="6" t="n">
        <v>5386515.480007162</v>
      </c>
      <c r="D86" s="8" t="n">
        <v>0.1044636139060898</v>
      </c>
      <c r="E86" s="9">
        <f>B86*D86</f>
        <v/>
      </c>
      <c r="F86" s="9">
        <f>C86*D86</f>
        <v/>
      </c>
      <c r="G86" s="6" t="n">
        <v>5498110.779625836</v>
      </c>
      <c r="H86" s="5" t="n">
        <v>53072252.82537422</v>
      </c>
      <c r="I86" s="9">
        <f>H86*38.36*0.012</f>
        <v/>
      </c>
      <c r="J86" s="9">
        <f>((87.91256254698193*D86)*0.34/(5860836.917048379+1))*52</f>
        <v/>
      </c>
      <c r="K86" s="8">
        <f>0.35*0.012</f>
        <v/>
      </c>
      <c r="L86" s="10">
        <f>J86/K86</f>
        <v/>
      </c>
    </row>
    <row r="87">
      <c r="A87" s="7" t="n">
        <v>83</v>
      </c>
      <c r="B87" s="6" t="n">
        <v>9774613.984375596</v>
      </c>
      <c r="C87" s="6" t="n">
        <v>5393404.21473032</v>
      </c>
      <c r="D87" s="8" t="n">
        <v>0.1041863360902802</v>
      </c>
      <c r="E87" s="9">
        <f>B87*D87</f>
        <v/>
      </c>
      <c r="F87" s="9">
        <f>C87*D87</f>
        <v/>
      </c>
      <c r="G87" s="6" t="n">
        <v>5505436.143513393</v>
      </c>
      <c r="H87" s="5" t="n">
        <v>53447383.93259612</v>
      </c>
      <c r="I87" s="9">
        <f>H87*38.36*0.012</f>
        <v/>
      </c>
      <c r="J87" s="9">
        <f>((86.62392918698406*D87)*0.34/(5774928.034972743+1))*52</f>
        <v/>
      </c>
      <c r="K87" s="8">
        <f>0.35*0.012</f>
        <v/>
      </c>
      <c r="L87" s="10">
        <f>J87/K87</f>
        <v/>
      </c>
    </row>
    <row r="88">
      <c r="A88" s="7" t="n">
        <v>84</v>
      </c>
      <c r="B88" s="6" t="n">
        <v>9777190.040925425</v>
      </c>
      <c r="C88" s="6" t="n">
        <v>5395162.934265971</v>
      </c>
      <c r="D88" s="8" t="n">
        <v>0.1038883290537398</v>
      </c>
      <c r="E88" s="9">
        <f>B88*D88</f>
        <v/>
      </c>
      <c r="F88" s="9">
        <f>C88*D88</f>
        <v/>
      </c>
      <c r="G88" s="6" t="n">
        <v>5512263.285029734</v>
      </c>
      <c r="H88" s="5" t="n">
        <v>53822068.84617326</v>
      </c>
      <c r="I88" s="9">
        <f>H88*38.36*0.012</f>
        <v/>
      </c>
      <c r="J88" s="9">
        <f>((85.45523528919827*D88)*0.34/(5697015.116244983+1))*52</f>
        <v/>
      </c>
      <c r="K88" s="8">
        <f>0.35*0.012</f>
        <v/>
      </c>
      <c r="L88" s="10">
        <f>J88/K88</f>
        <v/>
      </c>
    </row>
    <row r="89">
      <c r="A89" s="7" t="n">
        <v>85</v>
      </c>
      <c r="B89" s="6" t="n">
        <v>9784766.759646073</v>
      </c>
      <c r="C89" s="6" t="n">
        <v>5391572.496063072</v>
      </c>
      <c r="D89" s="8" t="n">
        <v>0.1036058440177916</v>
      </c>
      <c r="E89" s="9">
        <f>B89*D89</f>
        <v/>
      </c>
      <c r="F89" s="9">
        <f>C89*D89</f>
        <v/>
      </c>
      <c r="G89" s="6" t="n">
        <v>5519036.066393429</v>
      </c>
      <c r="H89" s="5" t="n">
        <v>54196155.76200591</v>
      </c>
      <c r="I89" s="9">
        <f>H89*38.36*0.012</f>
        <v/>
      </c>
      <c r="J89" s="9">
        <f>((84.39145082510542*D89)*0.34/(5626096.159064023+1))*52</f>
        <v/>
      </c>
      <c r="K89" s="8">
        <f>0.35*0.012</f>
        <v/>
      </c>
      <c r="L89" s="10">
        <f>J89/K89</f>
        <v/>
      </c>
    </row>
    <row r="90">
      <c r="A90" s="7" t="n">
        <v>86</v>
      </c>
      <c r="B90" s="6" t="n">
        <v>9797344.017351549</v>
      </c>
      <c r="C90" s="6" t="n">
        <v>5383381.33579259</v>
      </c>
      <c r="D90" s="8" t="n">
        <v>0.1033856358016556</v>
      </c>
      <c r="E90" s="9">
        <f>B90*D90</f>
        <v/>
      </c>
      <c r="F90" s="9">
        <f>C90*D90</f>
        <v/>
      </c>
      <c r="G90" s="6" t="n">
        <v>5530306.654422482</v>
      </c>
      <c r="H90" s="5" t="n">
        <v>54569476.98504404</v>
      </c>
      <c r="I90" s="9">
        <f>H90*38.36*0.012</f>
        <v/>
      </c>
      <c r="J90" s="9">
        <f>((83.41873094999991*D90)*0.34/(5561248.173875121+1))*52</f>
        <v/>
      </c>
      <c r="K90" s="8">
        <f>0.35*0.012</f>
        <v/>
      </c>
      <c r="L90" s="10">
        <f>J90/K90</f>
        <v/>
      </c>
    </row>
    <row r="91">
      <c r="A91" s="7" t="n">
        <v>87</v>
      </c>
      <c r="B91" s="6" t="n">
        <v>9824921.328418622</v>
      </c>
      <c r="C91" s="6" t="n">
        <v>5359836.412733315</v>
      </c>
      <c r="D91" s="8" t="n">
        <v>0.1031402903356477</v>
      </c>
      <c r="E91" s="9">
        <f>B91*D91</f>
        <v/>
      </c>
      <c r="F91" s="9">
        <f>C91*D91</f>
        <v/>
      </c>
      <c r="G91" s="6" t="n">
        <v>5537520.251275348</v>
      </c>
      <c r="H91" s="5" t="n">
        <v>54941851.26621421</v>
      </c>
      <c r="I91" s="9">
        <f>H91*38.36*0.012</f>
        <v/>
      </c>
      <c r="J91" s="9">
        <f>((82.52434422315183*D91)*0.34/(5501622.398047827+1))*52</f>
        <v/>
      </c>
      <c r="K91" s="8">
        <f>0.35*0.012</f>
        <v/>
      </c>
      <c r="L91" s="10">
        <f>J91/K91</f>
        <v/>
      </c>
    </row>
    <row r="92">
      <c r="A92" s="7" t="n">
        <v>88</v>
      </c>
      <c r="B92" s="6" t="n">
        <v>9902497.31247692</v>
      </c>
      <c r="C92" s="6" t="n">
        <v>5286399.792460809</v>
      </c>
      <c r="D92" s="8" t="n">
        <v>0.102774462513367</v>
      </c>
      <c r="E92" s="9">
        <f>B92*D92</f>
        <v/>
      </c>
      <c r="F92" s="9">
        <f>C92*D92</f>
        <v/>
      </c>
      <c r="G92" s="6" t="n">
        <v>5540317.629904693</v>
      </c>
      <c r="H92" s="5" t="n">
        <v>55313086.00933008</v>
      </c>
      <c r="I92" s="9">
        <f>H92*38.36*0.012</f>
        <v/>
      </c>
      <c r="J92" s="9">
        <f>((81.69660540562379*D92)*0.34/(5446439.815730884+1))*52</f>
        <v/>
      </c>
      <c r="K92" s="8">
        <f>0.35*0.012</f>
        <v/>
      </c>
      <c r="L92" s="10">
        <f>J92/K92</f>
        <v/>
      </c>
    </row>
    <row r="93">
      <c r="A93" s="7" t="n">
        <v>89</v>
      </c>
      <c r="B93" s="6" t="n">
        <v>10040070.31297124</v>
      </c>
      <c r="C93" s="6" t="n">
        <v>5152692.019234423</v>
      </c>
      <c r="D93" s="8" t="n">
        <v>0.1024960140214787</v>
      </c>
      <c r="E93" s="9">
        <f>B93*D93</f>
        <v/>
      </c>
      <c r="F93" s="9">
        <f>C93*D93</f>
        <v/>
      </c>
      <c r="G93" s="6" t="n">
        <v>5547034.200033459</v>
      </c>
      <c r="H93" s="5" t="n">
        <v>55682979.35364289</v>
      </c>
      <c r="I93" s="9">
        <f>H93*38.36*0.012</f>
        <v/>
      </c>
      <c r="J93" s="9">
        <f>((80.92481249110429*D93)*0.34/(5394986.959908203+1))*52</f>
        <v/>
      </c>
      <c r="K93" s="8">
        <f>0.35*0.012</f>
        <v/>
      </c>
      <c r="L93" s="10">
        <f>J93/K93</f>
        <v/>
      </c>
    </row>
    <row r="94">
      <c r="A94" s="7" t="n">
        <v>90</v>
      </c>
      <c r="B94" s="6" t="n">
        <v>10192639.89595732</v>
      </c>
      <c r="C94" s="6" t="n">
        <v>5004252.670037798</v>
      </c>
      <c r="D94" s="8" t="n">
        <v>0.10232486138076</v>
      </c>
      <c r="E94" s="9">
        <f>B94*D94</f>
        <v/>
      </c>
      <c r="F94" s="9">
        <f>C94*D94</f>
        <v/>
      </c>
      <c r="G94" s="6" t="n">
        <v>5557807.933111697</v>
      </c>
      <c r="H94" s="5" t="n">
        <v>56051322.13688602</v>
      </c>
      <c r="I94" s="9">
        <f>H94*38.36*0.012</f>
        <v/>
      </c>
      <c r="J94" s="9">
        <f>((80.19918764354196*D94)*0.34/(5346611.974908214+1))*52</f>
        <v/>
      </c>
      <c r="K94" s="8">
        <f>0.35*0.012</f>
        <v/>
      </c>
      <c r="L94" s="10">
        <f>J94/K94</f>
        <v/>
      </c>
    </row>
    <row r="95">
      <c r="A95" s="7" t="n">
        <v>91</v>
      </c>
      <c r="B95" s="6" t="n">
        <v>10230209.26657638</v>
      </c>
      <c r="C95" s="6" t="n">
        <v>4970571.5109742</v>
      </c>
      <c r="D95" s="8" t="n">
        <v>0.1021367914161116</v>
      </c>
      <c r="E95" s="9">
        <f>B95*D95</f>
        <v/>
      </c>
      <c r="F95" s="9">
        <f>C95*D95</f>
        <v/>
      </c>
      <c r="G95" s="6" t="n">
        <v>5568563.991442236</v>
      </c>
      <c r="H95" s="5" t="n">
        <v>56417899.74293789</v>
      </c>
      <c r="I95" s="9">
        <f>H95*38.36*0.012</f>
        <v/>
      </c>
      <c r="J95" s="9">
        <f>((79.51082173338074*D95)*0.34/(5300720.918819905+1))*52</f>
        <v/>
      </c>
      <c r="K95" s="8">
        <f>0.35*0.012</f>
        <v/>
      </c>
      <c r="L95" s="10">
        <f>J95/K95</f>
        <v/>
      </c>
    </row>
    <row r="96">
      <c r="A96" s="7" t="n">
        <v>92</v>
      </c>
      <c r="B96" s="6" t="n">
        <v>10242779.12941712</v>
      </c>
      <c r="C96" s="6" t="n">
        <v>4960975.894302344</v>
      </c>
      <c r="D96" s="8" t="n">
        <v>0.1024106720847642</v>
      </c>
      <c r="E96" s="9">
        <f>B96*D96</f>
        <v/>
      </c>
      <c r="F96" s="9">
        <f>C96*D96</f>
        <v/>
      </c>
      <c r="G96" s="6" t="n">
        <v>5603127.203208928</v>
      </c>
      <c r="H96" s="5" t="n">
        <v>56782493.83758105</v>
      </c>
      <c r="I96" s="9">
        <f>H96*38.36*0.012</f>
        <v/>
      </c>
      <c r="J96" s="9">
        <f>((78.85162218209415*D96)*0.34/(5256774.286462129+1))*52</f>
        <v/>
      </c>
      <c r="K96" s="8">
        <f>0.35*0.012</f>
        <v/>
      </c>
      <c r="L96" s="10">
        <f>J96/K96</f>
        <v/>
      </c>
    </row>
    <row r="97">
      <c r="A97" s="7" t="n">
        <v>93</v>
      </c>
      <c r="B97" s="6" t="n">
        <v>10245349.53969322</v>
      </c>
      <c r="C97" s="6" t="n">
        <v>4960319.201037008</v>
      </c>
      <c r="D97" s="8" t="n">
        <v>0.1030117271510761</v>
      </c>
      <c r="E97" s="9">
        <f>B97*D97</f>
        <v/>
      </c>
      <c r="F97" s="9">
        <f>C97*D97</f>
        <v/>
      </c>
      <c r="G97" s="6" t="n">
        <v>5653331.834856377</v>
      </c>
      <c r="H97" s="5" t="n">
        <v>57144883.99528538</v>
      </c>
      <c r="I97" s="9">
        <f>H97*38.36*0.012</f>
        <v/>
      </c>
      <c r="J97" s="9">
        <f>((78.21426384275168*D97)*0.34/(5214283.73475502+1))*52</f>
        <v/>
      </c>
      <c r="K97" s="8">
        <f>0.35*0.012</f>
        <v/>
      </c>
      <c r="L97" s="10">
        <f>J97/K97</f>
        <v/>
      </c>
    </row>
    <row r="98">
      <c r="A98" s="7" t="n">
        <v>94</v>
      </c>
      <c r="B98" s="6" t="n">
        <v>10247920.37670027</v>
      </c>
      <c r="C98" s="6" t="n">
        <v>4960027.057939408</v>
      </c>
      <c r="D98" s="8" t="n">
        <v>0.1037230847728892</v>
      </c>
      <c r="E98" s="9">
        <f>B98*D98</f>
        <v/>
      </c>
      <c r="F98" s="9">
        <f>C98*D98</f>
        <v/>
      </c>
      <c r="G98" s="6" t="n">
        <v>5707755.621679047</v>
      </c>
      <c r="H98" s="5" t="n">
        <v>57504849.21949263</v>
      </c>
      <c r="I98" s="9">
        <f>H98*38.36*0.012</f>
        <v/>
      </c>
      <c r="J98" s="9">
        <f>((77.59214266255192*D98)*0.34/(5172808.993555844+1))*52</f>
        <v/>
      </c>
      <c r="K98" s="8">
        <f>0.35*0.012</f>
        <v/>
      </c>
      <c r="L98" s="10">
        <f>J98/K98</f>
        <v/>
      </c>
    </row>
    <row r="99">
      <c r="A99" s="7" t="n">
        <v>95</v>
      </c>
      <c r="B99" s="6" t="n">
        <v>10245491.75287316</v>
      </c>
      <c r="C99" s="6" t="n">
        <v>4964101.877497841</v>
      </c>
      <c r="D99" s="8" t="n">
        <v>0.1048205101695111</v>
      </c>
      <c r="E99" s="9">
        <f>B99*D99</f>
        <v/>
      </c>
      <c r="F99" s="9">
        <f>C99*D99</f>
        <v/>
      </c>
      <c r="G99" s="6" t="n">
        <v>5782001.250368212</v>
      </c>
      <c r="H99" s="5" t="n">
        <v>57862169.35852922</v>
      </c>
      <c r="I99" s="9">
        <f>H99*38.36*0.012</f>
        <v/>
      </c>
      <c r="J99" s="9">
        <f>((76.97933189166885*D99)*0.34/(5131954.9462490445+1))*52</f>
        <v/>
      </c>
      <c r="K99" s="8">
        <f>0.35*0.012</f>
        <v/>
      </c>
      <c r="L99" s="10">
        <f>J99/K99</f>
        <v/>
      </c>
    </row>
    <row r="100">
      <c r="A100" s="7" t="n">
        <v>96</v>
      </c>
      <c r="B100" s="6" t="n">
        <v>10243063.50876962</v>
      </c>
      <c r="C100" s="6" t="n">
        <v>4969467.747110975</v>
      </c>
      <c r="D100" s="8" t="n">
        <v>0.1054291682060445</v>
      </c>
      <c r="E100" s="9">
        <f>B100*D100</f>
        <v/>
      </c>
      <c r="F100" s="9">
        <f>C100*D100</f>
        <v/>
      </c>
      <c r="G100" s="6" t="n">
        <v>5832620.68904163</v>
      </c>
      <c r="H100" s="5" t="n">
        <v>58216626.41901988</v>
      </c>
      <c r="I100" s="9">
        <f>H100*38.36*0.012</f>
        <v/>
      </c>
      <c r="J100" s="9">
        <f>((76.37054062122937*D100)*0.34/(5091368.865611687+1))*52</f>
        <v/>
      </c>
      <c r="K100" s="8">
        <f>0.35*0.012</f>
        <v/>
      </c>
      <c r="L100" s="10">
        <f>J100/K100</f>
        <v/>
      </c>
    </row>
    <row r="101">
      <c r="A101" s="7" t="n">
        <v>97</v>
      </c>
      <c r="B101" s="6" t="n">
        <v>10240635.83973534</v>
      </c>
      <c r="C101" s="6" t="n">
        <v>4975108.581982451</v>
      </c>
      <c r="D101" s="8" t="n">
        <v>0.1057967360017857</v>
      </c>
      <c r="E101" s="9">
        <f>B101*D101</f>
        <v/>
      </c>
      <c r="F101" s="9">
        <f>C101*D101</f>
        <v/>
      </c>
      <c r="G101" s="6" t="n">
        <v>5871282.410936015</v>
      </c>
      <c r="H101" s="5" t="n">
        <v>58568005.77851458</v>
      </c>
      <c r="I101" s="9">
        <f>H101*38.36*0.012</f>
        <v/>
      </c>
      <c r="J101" s="9">
        <f>((75.76107445175931*D101)*0.34/(5050737.791710125+1))*52</f>
        <v/>
      </c>
      <c r="K101" s="8">
        <f>0.35*0.012</f>
        <v/>
      </c>
      <c r="L101" s="10">
        <f>J101/K101</f>
        <v/>
      </c>
    </row>
    <row r="102">
      <c r="A102" s="7" t="n">
        <v>98</v>
      </c>
      <c r="B102" s="6" t="n">
        <v>10238208.83194325</v>
      </c>
      <c r="C102" s="6" t="n">
        <v>4981535.539747921</v>
      </c>
      <c r="D102" s="8" t="n">
        <v>0.1055955119868562</v>
      </c>
      <c r="E102" s="9">
        <f>B102*D102</f>
        <v/>
      </c>
      <c r="F102" s="9">
        <f>C102*D102</f>
        <v/>
      </c>
      <c r="G102" s="6" t="n">
        <v>5882022.505111463</v>
      </c>
      <c r="H102" s="5" t="n">
        <v>58916097.29896378</v>
      </c>
      <c r="I102" s="9">
        <f>H102*38.36*0.012</f>
        <v/>
      </c>
      <c r="J102" s="9">
        <f>((75.1467981117504*D102)*0.34/(5009786.039804706+1))*52</f>
        <v/>
      </c>
      <c r="K102" s="8">
        <f>0.35*0.012</f>
        <v/>
      </c>
      <c r="L102" s="10">
        <f>J102/K102</f>
        <v/>
      </c>
    </row>
    <row r="103">
      <c r="A103" s="7" t="n">
        <v>99</v>
      </c>
      <c r="B103" s="6" t="n">
        <v>10235782.70085237</v>
      </c>
      <c r="C103" s="6" t="n">
        <v>4987812.841889182</v>
      </c>
      <c r="D103" s="8" t="n">
        <v>0.1052074043331878</v>
      </c>
      <c r="E103" s="9">
        <f>B103*D103</f>
        <v/>
      </c>
      <c r="F103" s="9">
        <f>C103*D103</f>
        <v/>
      </c>
      <c r="G103" s="6" t="n">
        <v>5884787.54322325</v>
      </c>
      <c r="H103" s="5" t="n">
        <v>59260696.3426763</v>
      </c>
      <c r="I103" s="9">
        <f>H103*38.36*0.012</f>
        <v/>
      </c>
      <c r="J103" s="9">
        <f>((74.52409986402405*D103)*0.34/(4968272.827440938+1))*52</f>
        <v/>
      </c>
      <c r="K103" s="8">
        <f>0.35*0.012</f>
        <v/>
      </c>
      <c r="L103" s="10">
        <f>J103/K103</f>
        <v/>
      </c>
    </row>
    <row r="104">
      <c r="A104" s="7" t="n">
        <v>100</v>
      </c>
      <c r="B104" s="6" t="n">
        <v>10233357.51313042</v>
      </c>
      <c r="C104" s="6" t="n">
        <v>4993722.491038852</v>
      </c>
      <c r="D104" s="8" t="n">
        <v>0.1050732929474473</v>
      </c>
      <c r="E104" s="9">
        <f>B104*D104</f>
        <v/>
      </c>
      <c r="F104" s="9">
        <f>C104*D104</f>
        <v/>
      </c>
      <c r="G104" s="6" t="n">
        <v>5899627.399216785</v>
      </c>
      <c r="H104" s="5" t="n">
        <v>59601604.69246076</v>
      </c>
      <c r="I104" s="9">
        <f>H104*38.36*0.012</f>
        <v/>
      </c>
      <c r="J104" s="9">
        <f>((73.88985755512746*D104)*0.34/(4925990.011076114+1))*52</f>
        <v/>
      </c>
      <c r="K104" s="8">
        <f>0.35*0.012</f>
        <v/>
      </c>
      <c r="L104" s="10">
        <f>J104/K104</f>
        <v/>
      </c>
    </row>
    <row r="105">
      <c r="A105" s="7" t="n">
        <v>101</v>
      </c>
      <c r="B105" s="6" t="n">
        <v>10230933.18755914</v>
      </c>
      <c r="C105" s="6" t="n">
        <v>5000472.971519087</v>
      </c>
      <c r="D105" s="8" t="n">
        <v>0.1048651181934546</v>
      </c>
      <c r="E105" s="9">
        <f>B105*D105</f>
        <v/>
      </c>
      <c r="F105" s="9">
        <f>C105*D105</f>
        <v/>
      </c>
      <c r="G105" s="6" t="n">
        <v>5910598.227579117</v>
      </c>
      <c r="H105" s="5" t="n">
        <v>59938631.37777197</v>
      </c>
      <c r="I105" s="9">
        <f>H105*38.36*0.012</f>
        <v/>
      </c>
      <c r="J105" s="9">
        <f>((73.24140617989256*D105)*0.34/(4882759.923716797+1))*52</f>
        <v/>
      </c>
      <c r="K105" s="8">
        <f>0.35*0.012</f>
        <v/>
      </c>
      <c r="L105" s="10">
        <f>J105/K105</f>
        <v/>
      </c>
    </row>
    <row r="106">
      <c r="A106" s="7" t="n">
        <v>102</v>
      </c>
      <c r="B106" s="6" t="n">
        <v>10228509.75418686</v>
      </c>
      <c r="C106" s="6" t="n">
        <v>5007106.758491562</v>
      </c>
      <c r="D106" s="8" t="n">
        <v>0.1047370021296051</v>
      </c>
      <c r="E106" s="9">
        <f>B106*D106</f>
        <v/>
      </c>
      <c r="F106" s="9">
        <f>C106*D106</f>
        <v/>
      </c>
      <c r="G106" s="6" t="n">
        <v>5925561.827943151</v>
      </c>
      <c r="H106" s="5" t="n">
        <v>60271593.4088522</v>
      </c>
      <c r="I106" s="9">
        <f>H106*38.36*0.012</f>
        <v/>
      </c>
      <c r="J106" s="9">
        <f>((72.57650684943198*D106)*0.34/(4838433.306118754+1))*52</f>
        <v/>
      </c>
      <c r="K106" s="8">
        <f>0.35*0.012</f>
        <v/>
      </c>
      <c r="L106" s="10">
        <f>J106/K106</f>
        <v/>
      </c>
    </row>
    <row r="107">
      <c r="A107" s="7" t="n">
        <v>103</v>
      </c>
      <c r="B107" s="6" t="n">
        <v>10246086.62818727</v>
      </c>
      <c r="C107" s="6" t="n">
        <v>4993685.082734841</v>
      </c>
      <c r="D107" s="8" t="n">
        <v>0.1045311562766756</v>
      </c>
      <c r="E107" s="9">
        <f>B107*D107</f>
        <v/>
      </c>
      <c r="F107" s="9">
        <f>C107*D107</f>
        <v/>
      </c>
      <c r="G107" s="6" t="n">
        <v>5936451.722701656</v>
      </c>
      <c r="H107" s="5" t="n">
        <v>60600316.42105845</v>
      </c>
      <c r="I107" s="9">
        <f>H107*38.36*0.012</f>
        <v/>
      </c>
      <c r="J107" s="9">
        <f>((71.89331706605964*D107)*0.34/(4792887.3251151955+1))*52</f>
        <v/>
      </c>
      <c r="K107" s="8">
        <f>0.35*0.012</f>
        <v/>
      </c>
      <c r="L107" s="10">
        <f>J107/K107</f>
        <v/>
      </c>
    </row>
    <row r="108">
      <c r="A108" s="7" t="n">
        <v>104</v>
      </c>
      <c r="B108" s="6" t="n">
        <v>10258663.99280339</v>
      </c>
      <c r="C108" s="6" t="n">
        <v>4985800.327581135</v>
      </c>
      <c r="D108" s="8" t="n">
        <v>0.1043359582103562</v>
      </c>
      <c r="E108" s="9">
        <f>B108*D108</f>
        <v/>
      </c>
      <c r="F108" s="9">
        <f>C108*D108</f>
        <v/>
      </c>
      <c r="G108" s="6" t="n">
        <v>5947323.407633444</v>
      </c>
      <c r="H108" s="5" t="n">
        <v>60924635.23179435</v>
      </c>
      <c r="I108" s="9">
        <f>H108*38.36*0.012</f>
        <v/>
      </c>
      <c r="J108" s="9">
        <f>((71.1903622228095*D108)*0.34/(4746023.673584886+1))*52</f>
        <v/>
      </c>
      <c r="K108" s="8">
        <f>0.35*0.012</f>
        <v/>
      </c>
      <c r="L108" s="10">
        <f>J108/K108</f>
        <v/>
      </c>
    </row>
    <row r="109">
      <c r="A109" s="7" t="n">
        <v>105</v>
      </c>
      <c r="B109" s="6" t="n">
        <v>10286241.4154094</v>
      </c>
      <c r="C109" s="6" t="n">
        <v>4962217.434284868</v>
      </c>
      <c r="D109" s="8" t="n">
        <v>0.1041327704213012</v>
      </c>
      <c r="E109" s="9">
        <f>B109*D109</f>
        <v/>
      </c>
      <c r="F109" s="9">
        <f>C109*D109</f>
        <v/>
      </c>
      <c r="G109" s="6" t="n">
        <v>5958077.411575235</v>
      </c>
      <c r="H109" s="5" t="n">
        <v>61244394.31270733</v>
      </c>
      <c r="I109" s="9">
        <f>H109*38.36*0.012</f>
        <v/>
      </c>
      <c r="J109" s="9">
        <f>((70.46650825830656*D109)*0.34/(4697766.747443716+1))*52</f>
        <v/>
      </c>
      <c r="K109" s="8">
        <f>0.35*0.012</f>
        <v/>
      </c>
      <c r="L109" s="10">
        <f>J109/K109</f>
        <v/>
      </c>
    </row>
    <row r="110">
      <c r="A110" s="7" t="n">
        <v>106</v>
      </c>
      <c r="B110" s="6" t="n">
        <v>10348817.94198773</v>
      </c>
      <c r="C110" s="6" t="n">
        <v>4903480.803797731</v>
      </c>
      <c r="D110" s="8" t="n">
        <v>0.1039263669926145</v>
      </c>
      <c r="E110" s="9">
        <f>B110*D110</f>
        <v/>
      </c>
      <c r="F110" s="9">
        <f>C110*D110</f>
        <v/>
      </c>
      <c r="G110" s="6" t="n">
        <v>5968004.200831629</v>
      </c>
      <c r="H110" s="5" t="n">
        <v>61559448.18005859</v>
      </c>
      <c r="I110" s="9">
        <f>H110*38.36*0.012</f>
        <v/>
      </c>
      <c r="J110" s="9">
        <f>((69.72093540960876*D110)*0.34/(4648061.895834348+1))*52</f>
        <v/>
      </c>
      <c r="K110" s="8">
        <f>0.35*0.012</f>
        <v/>
      </c>
      <c r="L110" s="10">
        <f>J110/K110</f>
        <v/>
      </c>
    </row>
    <row r="111">
      <c r="A111" s="7" t="n">
        <v>107</v>
      </c>
      <c r="B111" s="6" t="n">
        <v>10491391.4167968</v>
      </c>
      <c r="C111" s="6" t="n">
        <v>4764667.623868698</v>
      </c>
      <c r="D111" s="8" t="n">
        <v>0.1036089185011153</v>
      </c>
      <c r="E111" s="9">
        <f>B111*D111</f>
        <v/>
      </c>
      <c r="F111" s="9">
        <f>C111*D111</f>
        <v/>
      </c>
      <c r="G111" s="6" t="n">
        <v>5974384.426034418</v>
      </c>
      <c r="H111" s="5" t="n">
        <v>61869661.70642018</v>
      </c>
      <c r="I111" s="9">
        <f>H111*38.36*0.012</f>
        <v/>
      </c>
      <c r="J111" s="9">
        <f>((68.95311301630676*D111)*0.34/(4596873.741399698+1))*52</f>
        <v/>
      </c>
      <c r="K111" s="8">
        <f>0.35*0.012</f>
        <v/>
      </c>
      <c r="L111" s="10">
        <f>J111/K111</f>
        <v/>
      </c>
    </row>
    <row r="112">
      <c r="A112" s="7" t="n">
        <v>108</v>
      </c>
      <c r="B112" s="6" t="n">
        <v>10643961.63438091</v>
      </c>
      <c r="C112" s="6" t="n">
        <v>4616475.782776608</v>
      </c>
      <c r="D112" s="8" t="n">
        <v>0.1034106074811753</v>
      </c>
      <c r="E112" s="9">
        <f>B112*D112</f>
        <v/>
      </c>
      <c r="F112" s="9">
        <f>C112*D112</f>
        <v/>
      </c>
      <c r="G112" s="6" t="n">
        <v>5984464.405142057</v>
      </c>
      <c r="H112" s="5" t="n">
        <v>62174910.35708778</v>
      </c>
      <c r="I112" s="9">
        <f>H112*38.36*0.012</f>
        <v/>
      </c>
      <c r="J112" s="9">
        <f>((68.16277533852531*D112)*0.34/(4544184.568149852+1))*52</f>
        <v/>
      </c>
      <c r="K112" s="8">
        <f>0.35*0.012</f>
        <v/>
      </c>
      <c r="L112" s="10">
        <f>J112/K112</f>
        <v/>
      </c>
    </row>
    <row r="113">
      <c r="A113" s="7" t="n">
        <v>109</v>
      </c>
      <c r="B113" s="6" t="n">
        <v>10691531.379285</v>
      </c>
      <c r="C113" s="6" t="n">
        <v>4572969.69516942</v>
      </c>
      <c r="D113" s="8" t="n">
        <v>0.1030290137011903</v>
      </c>
      <c r="E113" s="9">
        <f>B113*D113</f>
        <v/>
      </c>
      <c r="F113" s="9">
        <f>C113*D113</f>
        <v/>
      </c>
      <c r="G113" s="6" t="n">
        <v>5987253.905629073</v>
      </c>
      <c r="H113" s="5" t="n">
        <v>62475080.35481811</v>
      </c>
      <c r="I113" s="9">
        <f>H113*38.36*0.012</f>
        <v/>
      </c>
      <c r="J113" s="9">
        <f>((67.34989835961942*D113)*0.34/(4489992.774975305+1))*52</f>
        <v/>
      </c>
      <c r="K113" s="8">
        <f>0.35*0.012</f>
        <v/>
      </c>
      <c r="L113" s="10">
        <f>J113/K113</f>
        <v/>
      </c>
    </row>
    <row r="114">
      <c r="A114" s="7" t="n">
        <v>110</v>
      </c>
      <c r="B114" s="6" t="n">
        <v>10699101.77641304</v>
      </c>
      <c r="C114" s="6" t="n">
        <v>4569035.670106271</v>
      </c>
      <c r="D114" s="8" t="n">
        <v>0.1027747254149781</v>
      </c>
      <c r="E114" s="9">
        <f>B114*D114</f>
        <v/>
      </c>
      <c r="F114" s="9">
        <f>C114*D114</f>
        <v/>
      </c>
      <c r="G114" s="6" t="n">
        <v>5993577.287685676</v>
      </c>
      <c r="H114" s="5" t="n">
        <v>62770068.77669712</v>
      </c>
      <c r="I114" s="9">
        <f>H114*38.36*0.012</f>
        <v/>
      </c>
      <c r="J114" s="9">
        <f>((66.51467755121477*D114)*0.34/(4434311.393316468+1))*52</f>
        <v/>
      </c>
      <c r="K114" s="8">
        <f>0.35*0.012</f>
        <v/>
      </c>
      <c r="L114" s="10">
        <f>J114/K114</f>
        <v/>
      </c>
    </row>
    <row r="115">
      <c r="A115" s="7" t="n">
        <v>111</v>
      </c>
      <c r="B115" s="6" t="n">
        <v>10701672.92149025</v>
      </c>
      <c r="C115" s="6" t="n">
        <v>4569973.109817373</v>
      </c>
      <c r="D115" s="8" t="n">
        <v>0.1025049511897942</v>
      </c>
      <c r="E115" s="9">
        <f>B115*D115</f>
        <v/>
      </c>
      <c r="F115" s="9">
        <f>C115*D115</f>
        <v/>
      </c>
      <c r="G115" s="6" t="n">
        <v>5999878.369363703</v>
      </c>
      <c r="H115" s="5" t="n">
        <v>63059783.58711708</v>
      </c>
      <c r="I115" s="9">
        <f>H115*38.36*0.012</f>
        <v/>
      </c>
      <c r="J115" s="9">
        <f>((65.657506583922*D115)*0.34/(4377166.6678780895+1))*52</f>
        <v/>
      </c>
      <c r="K115" s="8">
        <f>0.35*0.012</f>
        <v/>
      </c>
      <c r="L115" s="10">
        <f>J115/K115</f>
        <v/>
      </c>
    </row>
    <row r="116">
      <c r="A116" s="7" t="n">
        <v>112</v>
      </c>
      <c r="B116" s="6" t="n">
        <v>10699244.97245907</v>
      </c>
      <c r="C116" s="6" t="n">
        <v>4576692.054359187</v>
      </c>
      <c r="D116" s="8" t="n">
        <v>0.1021917368851709</v>
      </c>
      <c r="E116" s="9">
        <f>B116*D116</f>
        <v/>
      </c>
      <c r="F116" s="9">
        <f>C116*D116</f>
        <v/>
      </c>
      <c r="G116" s="6" t="n">
        <v>6006291.778663184</v>
      </c>
      <c r="H116" s="5" t="n">
        <v>63344143.61098326</v>
      </c>
      <c r="I116" s="9">
        <f>H116*38.36*0.012</f>
        <v/>
      </c>
      <c r="J116" s="9">
        <f>((64.77895697157366*D116)*0.34/(4318596.699578531+1))*52</f>
        <v/>
      </c>
      <c r="K116" s="8">
        <f>0.35*0.012</f>
        <v/>
      </c>
      <c r="L116" s="10">
        <f>J116/K116</f>
        <v/>
      </c>
    </row>
    <row r="117">
      <c r="A117" s="7" t="n">
        <v>113</v>
      </c>
      <c r="B117" s="6" t="n">
        <v>10701817.81495897</v>
      </c>
      <c r="C117" s="6" t="n">
        <v>4578864.544014867</v>
      </c>
      <c r="D117" s="8" t="n">
        <v>0.1020554667668483</v>
      </c>
      <c r="E117" s="9">
        <f>B117*D117</f>
        <v/>
      </c>
      <c r="F117" s="9">
        <f>C117*D117</f>
        <v/>
      </c>
      <c r="G117" s="6" t="n">
        <v>6019942.8514056</v>
      </c>
      <c r="H117" s="5" t="n">
        <v>63623078.45138117</v>
      </c>
      <c r="I117" s="9">
        <f>H117*38.36*0.012</f>
        <v/>
      </c>
      <c r="J117" s="9">
        <f>((63.87975864024422*D117)*0.34/(4258650.150151224+1))*52</f>
        <v/>
      </c>
      <c r="K117" s="8">
        <f>0.35*0.012</f>
        <v/>
      </c>
      <c r="L117" s="10">
        <f>J117/K117</f>
        <v/>
      </c>
    </row>
    <row r="118">
      <c r="A118" s="7" t="n">
        <v>114</v>
      </c>
      <c r="B118" s="6" t="n">
        <v>10699391.47768072</v>
      </c>
      <c r="C118" s="6" t="n">
        <v>4584691.466542746</v>
      </c>
      <c r="D118" s="8" t="n">
        <v>0.1019973908420483</v>
      </c>
      <c r="E118" s="9">
        <f>B118*D118</f>
        <v/>
      </c>
      <c r="F118" s="9">
        <f>C118*D118</f>
        <v/>
      </c>
      <c r="G118" s="6" t="n">
        <v>6037281.717532763</v>
      </c>
      <c r="H118" s="5" t="n">
        <v>63896528.35601308</v>
      </c>
      <c r="I118" s="9">
        <f>H118*38.36*0.012</f>
        <v/>
      </c>
      <c r="J118" s="9">
        <f>((62.96078141575791*D118)*0.34/(4197385.007978652+1))*52</f>
        <v/>
      </c>
      <c r="K118" s="8">
        <f>0.35*0.012</f>
        <v/>
      </c>
      <c r="L118" s="10">
        <f>J118/K118</f>
        <v/>
      </c>
    </row>
    <row r="119">
      <c r="A119" s="7" t="n">
        <v>115</v>
      </c>
      <c r="B119" s="6" t="n">
        <v>10696965.93142101</v>
      </c>
      <c r="C119" s="6" t="n">
        <v>4589861.804738407</v>
      </c>
      <c r="D119" s="8" t="n">
        <v>0.1023814139167028</v>
      </c>
      <c r="E119" s="9">
        <f>B119*D119</f>
        <v/>
      </c>
      <c r="F119" s="9">
        <f>C119*D119</f>
        <v/>
      </c>
      <c r="G119" s="6" t="n">
        <v>6076015.727442264</v>
      </c>
      <c r="H119" s="5" t="n">
        <v>64164444.03675595</v>
      </c>
      <c r="I119" s="9">
        <f>H119*38.36*0.012</f>
        <v/>
      </c>
      <c r="J119" s="9">
        <f>((62.02301742487096*D119)*0.34/(4134867.414837948+1))*52</f>
        <v/>
      </c>
      <c r="K119" s="8">
        <f>0.35*0.012</f>
        <v/>
      </c>
      <c r="L119" s="10">
        <f>J119/K119</f>
        <v/>
      </c>
    </row>
    <row r="120">
      <c r="A120" s="7" t="n">
        <v>116</v>
      </c>
      <c r="B120" s="6" t="n">
        <v>10694541.00065362</v>
      </c>
      <c r="C120" s="6" t="n">
        <v>4593908.472702834</v>
      </c>
      <c r="D120" s="8" t="n">
        <v>0.1034155816984626</v>
      </c>
      <c r="E120" s="9">
        <f>B120*D120</f>
        <v/>
      </c>
      <c r="F120" s="9">
        <f>C120*D120</f>
        <v/>
      </c>
      <c r="G120" s="6" t="n">
        <v>6147016.801270878</v>
      </c>
      <c r="H120" s="5" t="n">
        <v>64426786.44670244</v>
      </c>
      <c r="I120" s="9">
        <f>H120*38.36*0.012</f>
        <v/>
      </c>
      <c r="J120" s="9">
        <f>((61.06756440599847*D120)*0.34/(4071170.553282802+1))*52</f>
        <v/>
      </c>
      <c r="K120" s="8">
        <f>0.35*0.012</f>
        <v/>
      </c>
      <c r="L120" s="10">
        <f>J120/K120</f>
        <v/>
      </c>
    </row>
    <row r="121">
      <c r="A121" s="7" t="n">
        <v>117</v>
      </c>
      <c r="B121" s="6" t="n">
        <v>10692116.42946444</v>
      </c>
      <c r="C121" s="6" t="n">
        <v>4598261.617618896</v>
      </c>
      <c r="D121" s="8" t="n">
        <v>0.1043579447657417</v>
      </c>
      <c r="E121" s="9">
        <f>B121*D121</f>
        <v/>
      </c>
      <c r="F121" s="9">
        <f>C121*D121</f>
        <v/>
      </c>
      <c r="G121" s="6" t="n">
        <v>6214702.761889284</v>
      </c>
      <c r="H121" s="5" t="n">
        <v>71969776.51902409</v>
      </c>
      <c r="I121" s="9">
        <f>H121*38.36*0.012</f>
        <v/>
      </c>
      <c r="J121" s="9">
        <f>((205.82062449781333*D121)*0.34/(13721373.594383392+1))*52</f>
        <v/>
      </c>
      <c r="K121" s="8">
        <f>0.35*0.012</f>
        <v/>
      </c>
      <c r="L121" s="10">
        <f>J121/K121</f>
        <v/>
      </c>
    </row>
    <row r="122">
      <c r="A122" s="7" t="n">
        <v>118</v>
      </c>
      <c r="B122" s="6" t="n">
        <v>10689692.25564604</v>
      </c>
      <c r="C122" s="6" t="n">
        <v>4604087.869702579</v>
      </c>
      <c r="D122" s="8" t="n">
        <v>0.104656558703329</v>
      </c>
      <c r="E122" s="9">
        <f>B122*D122</f>
        <v/>
      </c>
      <c r="F122" s="9">
        <f>C122*D122</f>
        <v/>
      </c>
      <c r="G122" s="6" t="n">
        <v>6250004.712957058</v>
      </c>
      <c r="H122" s="5" t="n">
        <v>70763644.87194081</v>
      </c>
      <c r="I122" s="9">
        <f>H122*38.36*0.012</f>
        <v/>
      </c>
      <c r="J122" s="9">
        <f>((185.23856204803198*D122)*0.34/(12349236.234945053+1))*52</f>
        <v/>
      </c>
      <c r="K122" s="8">
        <f>0.35*0.012</f>
        <v/>
      </c>
      <c r="L122" s="10">
        <f>J122/K122</f>
        <v/>
      </c>
    </row>
    <row r="123">
      <c r="A123" s="7" t="n">
        <v>119</v>
      </c>
      <c r="B123" s="6" t="n">
        <v>10687268.73744374</v>
      </c>
      <c r="C123" s="6" t="n">
        <v>4609374.72217275</v>
      </c>
      <c r="D123" s="8" t="n">
        <v>0.1052428841553187</v>
      </c>
      <c r="E123" s="9">
        <f>B123*D123</f>
        <v/>
      </c>
      <c r="F123" s="9">
        <f>C123*D123</f>
        <v/>
      </c>
      <c r="G123" s="6" t="n">
        <v>6299930.285269502</v>
      </c>
      <c r="H123" s="5" t="n">
        <v>69843331.48399708</v>
      </c>
      <c r="I123" s="9">
        <f>H123*38.36*0.012</f>
        <v/>
      </c>
      <c r="J123" s="9">
        <f>((166.71470584322878*D123)*0.34/(11114312.611450547+1))*52</f>
        <v/>
      </c>
      <c r="K123" s="8">
        <f>0.35*0.012</f>
        <v/>
      </c>
      <c r="L123" s="10">
        <f>J123/K123</f>
        <v/>
      </c>
    </row>
    <row r="124">
      <c r="A124" s="7" t="n">
        <v>120</v>
      </c>
      <c r="B124" s="6" t="n">
        <v>10689845.61129851</v>
      </c>
      <c r="C124" s="6" t="n">
        <v>4610645.619664889</v>
      </c>
      <c r="D124" s="8" t="n">
        <v>0.1050119243314724</v>
      </c>
      <c r="E124" s="9">
        <f>B124*D124</f>
        <v/>
      </c>
      <c r="F124" s="9">
        <f>C124*D124</f>
        <v/>
      </c>
      <c r="G124" s="6" t="n">
        <v>6309914.355938472</v>
      </c>
      <c r="H124" s="5" t="n">
        <v>69150545.34373385</v>
      </c>
      <c r="I124" s="9">
        <f>H124*38.36*0.012</f>
        <v/>
      </c>
      <c r="J124" s="9">
        <f>((150.0432352589059*D124)*0.34/(10002881.350305492+1))*52</f>
        <v/>
      </c>
      <c r="K124" s="8">
        <f>0.35*0.012</f>
        <v/>
      </c>
      <c r="L124" s="10">
        <f>J124/K124</f>
        <v/>
      </c>
    </row>
    <row r="125">
      <c r="A125" s="7" t="n">
        <v>121</v>
      </c>
      <c r="B125" s="6" t="n">
        <v>10707422.80754248</v>
      </c>
      <c r="C125" s="6" t="n">
        <v>4597316.132482468</v>
      </c>
      <c r="D125" s="8" t="n">
        <v>0.1046436841307917</v>
      </c>
      <c r="E125" s="9">
        <f>B125*D125</f>
        <v/>
      </c>
      <c r="F125" s="9">
        <f>C125*D125</f>
        <v/>
      </c>
      <c r="G125" s="6" t="n">
        <v>6312723.399682038</v>
      </c>
      <c r="H125" s="5" t="n">
        <v>68638662.07771003</v>
      </c>
      <c r="I125" s="9">
        <f>H125*38.36*0.012</f>
        <v/>
      </c>
      <c r="J125" s="9">
        <f>((135.0389117330153*D125)*0.34/(9002593.215274943+1))*52</f>
        <v/>
      </c>
      <c r="K125" s="8">
        <f>0.35*0.012</f>
        <v/>
      </c>
      <c r="L125" s="10">
        <f>J125/K125</f>
        <v/>
      </c>
    </row>
    <row r="126">
      <c r="A126" s="7" t="n">
        <v>122</v>
      </c>
      <c r="B126" s="6" t="n">
        <v>10754999.57728546</v>
      </c>
      <c r="C126" s="6" t="n">
        <v>4552882.031765326</v>
      </c>
      <c r="D126" s="8" t="n">
        <v>0.1044399285037069</v>
      </c>
      <c r="E126" s="9">
        <f>B126*D126</f>
        <v/>
      </c>
      <c r="F126" s="9">
        <f>C126*D126</f>
        <v/>
      </c>
      <c r="G126" s="6" t="n">
        <v>6322236.700187352</v>
      </c>
      <c r="H126" s="5" t="n">
        <v>68270391.96066906</v>
      </c>
      <c r="I126" s="9">
        <f>H126*38.36*0.012</f>
        <v/>
      </c>
      <c r="J126" s="9">
        <f>((121.53502055971377*D126)*0.34/(8102333.893747449+1))*52</f>
        <v/>
      </c>
      <c r="K126" s="8">
        <f>0.35*0.012</f>
        <v/>
      </c>
      <c r="L126" s="10">
        <f>J126/K126</f>
        <v/>
      </c>
    </row>
    <row r="127">
      <c r="A127" s="7" t="n">
        <v>123</v>
      </c>
      <c r="B127" s="6" t="n">
        <v>10782576.41122129</v>
      </c>
      <c r="C127" s="6" t="n">
        <v>4529514.556632075</v>
      </c>
      <c r="D127" s="8" t="n">
        <v>0.1041501583571508</v>
      </c>
      <c r="E127" s="9">
        <f>B127*D127</f>
        <v/>
      </c>
      <c r="F127" s="9">
        <f>C127*D127</f>
        <v/>
      </c>
      <c r="G127" s="6" t="n">
        <v>6328240.908525493</v>
      </c>
      <c r="H127" s="5" t="n">
        <v>68015914.2314717</v>
      </c>
      <c r="I127" s="9">
        <f>H127*38.36*0.012</f>
        <v/>
      </c>
      <c r="J127" s="9">
        <f>((109.3815185037424*D127)*0.34/(7292100.504372704+1))*52</f>
        <v/>
      </c>
      <c r="K127" s="8">
        <f>0.35*0.012</f>
        <v/>
      </c>
      <c r="L127" s="10">
        <f>J127/K127</f>
        <v/>
      </c>
    </row>
    <row r="128">
      <c r="A128" s="7" t="n">
        <v>124</v>
      </c>
      <c r="B128" s="6" t="n">
        <v>10860152.06276578</v>
      </c>
      <c r="C128" s="6" t="n">
        <v>4456534.933540458</v>
      </c>
      <c r="D128" s="8" t="n">
        <v>0.103923722453238</v>
      </c>
      <c r="E128" s="9">
        <f>B128*D128</f>
        <v/>
      </c>
      <c r="F128" s="9">
        <f>C128*D128</f>
        <v/>
      </c>
      <c r="G128" s="6" t="n">
        <v>6337484.014457738</v>
      </c>
      <c r="H128" s="5" t="n">
        <v>67851384.45422314</v>
      </c>
      <c r="I128" s="9">
        <f>H128*38.36*0.012</f>
        <v/>
      </c>
      <c r="J128" s="9">
        <f>((98.44336665336816*D128)*0.34/(6562890.453935433+1))*52</f>
        <v/>
      </c>
      <c r="K128" s="8">
        <f>0.35*0.012</f>
        <v/>
      </c>
      <c r="L128" s="10">
        <f>J128/K128</f>
        <v/>
      </c>
    </row>
    <row r="129">
      <c r="A129" s="7" t="n">
        <v>125</v>
      </c>
      <c r="B129" s="6" t="n">
        <v>11012724.55008807</v>
      </c>
      <c r="C129" s="6" t="n">
        <v>4307745.401672546</v>
      </c>
      <c r="D129" s="8" t="n">
        <v>0.1037390053641386</v>
      </c>
      <c r="E129" s="9">
        <f>B129*D129</f>
        <v/>
      </c>
      <c r="F129" s="9">
        <f>C129*D129</f>
        <v/>
      </c>
      <c r="G129" s="6" t="n">
        <v>6349781.597578</v>
      </c>
      <c r="H129" s="5" t="n">
        <v>66535310.41582</v>
      </c>
      <c r="I129" s="9">
        <f>H129*38.36*0.012</f>
        <v/>
      </c>
      <c r="J129" s="9">
        <f>((88.59902998803133*D129)*0.34/(5906601.40854189+1))*52</f>
        <v/>
      </c>
      <c r="K129" s="8">
        <f>0.35*0.012</f>
        <v/>
      </c>
      <c r="L129" s="10">
        <f>J129/K129</f>
        <v/>
      </c>
    </row>
    <row r="130">
      <c r="A130" s="7" t="n">
        <v>126</v>
      </c>
      <c r="B130" s="6" t="n">
        <v>11090295.78565121</v>
      </c>
      <c r="C130" s="6" t="n">
        <v>4233640.178508027</v>
      </c>
      <c r="D130" s="8" t="n">
        <v>0.1036915205745393</v>
      </c>
      <c r="E130" s="9">
        <f>B130*D130</f>
        <v/>
      </c>
      <c r="F130" s="9">
        <f>C130*D130</f>
        <v/>
      </c>
      <c r="G130" s="6" t="n">
        <v>6368327.558587167</v>
      </c>
      <c r="H130" s="5" t="n">
        <v>66741802.2589283</v>
      </c>
      <c r="I130" s="9">
        <f>H130*38.36*0.012</f>
        <v/>
      </c>
      <c r="J130" s="9">
        <f>((83.86896426437771*D130)*0.34/(5591263.725165419+1))*52</f>
        <v/>
      </c>
      <c r="K130" s="8">
        <f>0.35*0.012</f>
        <v/>
      </c>
      <c r="L130" s="10">
        <f>J130/K130</f>
        <v/>
      </c>
    </row>
    <row r="131">
      <c r="A131" s="7" t="n">
        <v>127</v>
      </c>
      <c r="B131" s="6" t="n">
        <v>11142866.36063383</v>
      </c>
      <c r="C131" s="6" t="n">
        <v>4184690.486989455</v>
      </c>
      <c r="D131" s="8" t="n">
        <v>0.1034475813814981</v>
      </c>
      <c r="E131" s="9">
        <f>B131*D131</f>
        <v/>
      </c>
      <c r="F131" s="9">
        <f>C131*D131</f>
        <v/>
      </c>
      <c r="G131" s="6" t="n">
        <v>6377823.740571223</v>
      </c>
      <c r="H131" s="5" t="n">
        <v>66942873.49318479</v>
      </c>
      <c r="I131" s="9">
        <f>H131*38.36*0.012</f>
        <v/>
      </c>
      <c r="J131" s="9">
        <f>((79.50349292521234*D131)*0.34/(5300232.331657537+1))*52</f>
        <v/>
      </c>
      <c r="K131" s="8">
        <f>0.35*0.012</f>
        <v/>
      </c>
      <c r="L131" s="10">
        <f>J131/K131</f>
        <v/>
      </c>
    </row>
    <row r="132">
      <c r="A132" s="7" t="n">
        <v>128</v>
      </c>
      <c r="B132" s="6" t="n">
        <v>11155437.37893477</v>
      </c>
      <c r="C132" s="6" t="n">
        <v>4175667.675098753</v>
      </c>
      <c r="D132" s="8" t="n">
        <v>0.1033003796515902</v>
      </c>
      <c r="E132" s="9">
        <f>B132*D132</f>
        <v/>
      </c>
      <c r="F132" s="9">
        <f>C132*D132</f>
        <v/>
      </c>
      <c r="G132" s="6" t="n">
        <v>6390225.799325882</v>
      </c>
      <c r="H132" s="5" t="n">
        <v>67138580.72718915</v>
      </c>
      <c r="I132" s="9">
        <f>H132*38.36*0.012</f>
        <v/>
      </c>
      <c r="J132" s="9">
        <f>((75.46728870419295*D132)*0.34/(5031152.077164273+1))*52</f>
        <v/>
      </c>
      <c r="K132" s="8">
        <f>0.35*0.012</f>
        <v/>
      </c>
      <c r="L132" s="10">
        <f>J132/K132</f>
        <v/>
      </c>
    </row>
    <row r="133">
      <c r="A133" s="7" t="n">
        <v>129</v>
      </c>
      <c r="B133" s="6" t="n">
        <v>11158009.08319563</v>
      </c>
      <c r="C133" s="6" t="n">
        <v>4177184.256125042</v>
      </c>
      <c r="D133" s="8" t="n">
        <v>0.102994873497781</v>
      </c>
      <c r="E133" s="9">
        <f>B133*D133</f>
        <v/>
      </c>
      <c r="F133" s="9">
        <f>C133*D133</f>
        <v/>
      </c>
      <c r="G133" s="6" t="n">
        <v>6396268.681070814</v>
      </c>
      <c r="H133" s="5" t="n">
        <v>67328985.86763054</v>
      </c>
      <c r="I133" s="9">
        <f>H133*38.36*0.012</f>
        <v/>
      </c>
      <c r="J133" s="9">
        <f>((71.72866302341174*D133)*0.34/(4781910.390036363+1))*52</f>
        <v/>
      </c>
      <c r="K133" s="8">
        <f>0.35*0.012</f>
        <v/>
      </c>
      <c r="L133" s="10">
        <f>J133/K133</f>
        <v/>
      </c>
    </row>
    <row r="134">
      <c r="A134" s="7" t="n">
        <v>130</v>
      </c>
      <c r="B134" s="6" t="n">
        <v>11155581.67975966</v>
      </c>
      <c r="C134" s="6" t="n">
        <v>4184729.950193704</v>
      </c>
      <c r="D134" s="8" t="n">
        <v>0.1026529095165325</v>
      </c>
      <c r="E134" s="9">
        <f>B134*D134</f>
        <v/>
      </c>
      <c r="F134" s="9">
        <f>C134*D134</f>
        <v/>
      </c>
      <c r="G134" s="6" t="n">
        <v>6399174.529013676</v>
      </c>
      <c r="H134" s="5" t="n">
        <v>67514155.69966766</v>
      </c>
      <c r="I134" s="9">
        <f>H134*38.36*0.012</f>
        <v/>
      </c>
      <c r="J134" s="9">
        <f>((68.25919373215262*D134)*0.34/(4550612.4604155505+1))*52</f>
        <v/>
      </c>
      <c r="K134" s="8">
        <f>0.35*0.012</f>
        <v/>
      </c>
      <c r="L134" s="10">
        <f>J134/K134</f>
        <v/>
      </c>
    </row>
    <row r="135">
      <c r="A135" s="7" t="n">
        <v>131</v>
      </c>
      <c r="B135" s="6" t="n">
        <v>11153155.1477319</v>
      </c>
      <c r="C135" s="6" t="n">
        <v>4190860.197784211</v>
      </c>
      <c r="D135" s="8" t="n">
        <v>0.1024259012917094</v>
      </c>
      <c r="E135" s="9">
        <f>B135*D135</f>
        <v/>
      </c>
      <c r="F135" s="9">
        <f>C135*D135</f>
        <v/>
      </c>
      <c r="G135" s="6" t="n">
        <v>6408340.51755459</v>
      </c>
      <c r="H135" s="5" t="n">
        <v>67694161.47446103</v>
      </c>
      <c r="I135" s="9">
        <f>H135*38.36*0.012</f>
        <v/>
      </c>
      <c r="J135" s="9">
        <f>((65.03339021481638*D135)*0.34/(4335558.914098491+1))*52</f>
        <v/>
      </c>
      <c r="K135" s="8">
        <f>0.35*0.012</f>
        <v/>
      </c>
      <c r="L135" s="10">
        <f>J135/K135</f>
        <v/>
      </c>
    </row>
    <row r="136">
      <c r="A136" s="7" t="n">
        <v>132</v>
      </c>
      <c r="B136" s="6" t="n">
        <v>11155729.3296928</v>
      </c>
      <c r="C136" s="6" t="n">
        <v>4192772.20783074</v>
      </c>
      <c r="D136" s="8" t="n">
        <v>0.1021859285073656</v>
      </c>
      <c r="E136" s="9">
        <f>B136*D136</f>
        <v/>
      </c>
      <c r="F136" s="9">
        <f>C136*D136</f>
        <v/>
      </c>
      <c r="G136" s="6" t="n">
        <v>6417540.235286999</v>
      </c>
      <c r="H136" s="5" t="n">
        <v>67869078.50554033</v>
      </c>
      <c r="I136" s="9">
        <f>H136*38.36*0.012</f>
        <v/>
      </c>
      <c r="J136" s="9">
        <f>((62.02839216475476*D136)*0.34/(4135225.73079437+1))*52</f>
        <v/>
      </c>
      <c r="K136" s="8">
        <f>0.35*0.012</f>
        <v/>
      </c>
      <c r="L136" s="10">
        <f>J136/K136</f>
        <v/>
      </c>
    </row>
    <row r="137">
      <c r="A137" s="7" t="n">
        <v>133</v>
      </c>
      <c r="B137" s="6" t="n">
        <v>11153304.33692885</v>
      </c>
      <c r="C137" s="6" t="n">
        <v>4199385.244369983</v>
      </c>
      <c r="D137" s="8" t="n">
        <v>0.1018920353141433</v>
      </c>
      <c r="E137" s="9">
        <f>B137*D137</f>
        <v/>
      </c>
      <c r="F137" s="9">
        <f>C137*D137</f>
        <v/>
      </c>
      <c r="G137" s="6" t="n">
        <v>6423623.470469676</v>
      </c>
      <c r="H137" s="5" t="n">
        <v>68038985.7754813</v>
      </c>
      <c r="I137" s="9">
        <f>H137*38.36*0.012</f>
        <v/>
      </c>
      <c r="J137" s="9">
        <f>((59.22369868691331*D137)*0.34/(3948246.1843028963+1))*52</f>
        <v/>
      </c>
      <c r="K137" s="8">
        <f>0.35*0.012</f>
        <v/>
      </c>
      <c r="L137" s="10">
        <f>J137/K137</f>
        <v/>
      </c>
    </row>
    <row r="138">
      <c r="A138" s="7" t="n">
        <v>134</v>
      </c>
      <c r="B138" s="6" t="n">
        <v>11150880.21482112</v>
      </c>
      <c r="C138" s="6" t="n">
        <v>4206328.765640869</v>
      </c>
      <c r="D138" s="8" t="n">
        <v>0.1018600601203561</v>
      </c>
      <c r="E138" s="9">
        <f>B138*D138</f>
        <v/>
      </c>
      <c r="F138" s="9">
        <f>C138*D138</f>
        <v/>
      </c>
      <c r="G138" s="6" t="n">
        <v>6442611.738144011</v>
      </c>
      <c r="H138" s="5" t="n">
        <v>68203965.55416504</v>
      </c>
      <c r="I138" s="9">
        <f>H138*38.36*0.012</f>
        <v/>
      </c>
      <c r="J138" s="9">
        <f>((56.60092472185623*D138)*0.34/(3773394.6041175844+1))*52</f>
        <v/>
      </c>
      <c r="K138" s="8">
        <f>0.35*0.012</f>
        <v/>
      </c>
      <c r="L138" s="10">
        <f>J138/K138</f>
        <v/>
      </c>
    </row>
    <row r="139">
      <c r="A139" s="7" t="n">
        <v>135</v>
      </c>
      <c r="B139" s="6" t="n">
        <v>11148456.82311982</v>
      </c>
      <c r="C139" s="6" t="n">
        <v>4211838.627195414</v>
      </c>
      <c r="D139" s="8" t="n">
        <v>0.1020298487020634</v>
      </c>
      <c r="E139" s="9">
        <f>B139*D139</f>
        <v/>
      </c>
      <c r="F139" s="9">
        <f>C139*D139</f>
        <v/>
      </c>
      <c r="G139" s="6" t="n">
        <v>6471086.827022945</v>
      </c>
      <c r="H139" s="5" t="n">
        <v>68364103.02970144</v>
      </c>
      <c r="I139" s="9">
        <f>H139*38.36*0.012</f>
        <v/>
      </c>
      <c r="J139" s="9">
        <f>((54.143582080673866*D139)*0.34/(3609571.7777543776+1))*52</f>
        <v/>
      </c>
      <c r="K139" s="8">
        <f>0.35*0.012</f>
        <v/>
      </c>
      <c r="L139" s="10">
        <f>J139/K139</f>
        <v/>
      </c>
    </row>
    <row r="140">
      <c r="A140" s="7" t="n">
        <v>136</v>
      </c>
      <c r="B140" s="6" t="n">
        <v>11156033.83782241</v>
      </c>
      <c r="C140" s="6" t="n">
        <v>4206279.477464515</v>
      </c>
      <c r="D140" s="8" t="n">
        <v>0.1028331687671006</v>
      </c>
      <c r="E140" s="9">
        <f>B140*D140</f>
        <v/>
      </c>
      <c r="F140" s="9">
        <f>C140*D140</f>
        <v/>
      </c>
      <c r="G140" s="6" t="n">
        <v>6531271.377053905</v>
      </c>
      <c r="H140" s="5" t="n">
        <v>68519485.95291723</v>
      </c>
      <c r="I140" s="9">
        <f>H140*38.36*0.012</f>
        <v/>
      </c>
      <c r="J140" s="9">
        <f>((51.83688264768804*D140)*0.34/(3455791.830933319+1))*52</f>
        <v/>
      </c>
      <c r="K140" s="8">
        <f>0.35*0.012</f>
        <v/>
      </c>
      <c r="L140" s="10">
        <f>J140/K140</f>
        <v/>
      </c>
    </row>
    <row r="141">
      <c r="A141" s="7" t="n">
        <v>137</v>
      </c>
      <c r="B141" s="6" t="n">
        <v>11153611.27300319</v>
      </c>
      <c r="C141" s="6" t="n">
        <v>4211159.384143186</v>
      </c>
      <c r="D141" s="8" t="n">
        <v>0.1035431161465994</v>
      </c>
      <c r="E141" s="9">
        <f>B141*D141</f>
        <v/>
      </c>
      <c r="F141" s="9">
        <f>C141*D141</f>
        <v/>
      </c>
      <c r="G141" s="6" t="n">
        <v>6588262.506310481</v>
      </c>
      <c r="H141" s="5" t="n">
        <v>68670204.29613701</v>
      </c>
      <c r="I141" s="9">
        <f>H141*38.36*0.012</f>
        <v/>
      </c>
      <c r="J141" s="9">
        <f>((49.66756154875125*D141)*0.34/(3311170.438799673+1))*52</f>
        <v/>
      </c>
      <c r="K141" s="8">
        <f>0.35*0.012</f>
        <v/>
      </c>
      <c r="L141" s="10">
        <f>J141/K141</f>
        <v/>
      </c>
    </row>
    <row r="142">
      <c r="A142" s="7" t="n">
        <v>138</v>
      </c>
      <c r="B142" s="6" t="n">
        <v>11176188.52045707</v>
      </c>
      <c r="C142" s="6" t="n">
        <v>4191172.908343474</v>
      </c>
      <c r="D142" s="8" t="n">
        <v>0.103976673910808</v>
      </c>
      <c r="E142" s="9">
        <f>B142*D142</f>
        <v/>
      </c>
      <c r="F142" s="9">
        <f>C142*D142</f>
        <v/>
      </c>
      <c r="G142" s="6" t="n">
        <v>6628929.090756923</v>
      </c>
      <c r="H142" s="5" t="n">
        <v>68816349.92682816</v>
      </c>
      <c r="I142" s="9">
        <f>H142*38.36*0.012</f>
        <v/>
      </c>
      <c r="J142" s="9">
        <f>((47.62371829999068*D142)*0.34/(3174914.235841257+1))*52</f>
        <v/>
      </c>
      <c r="K142" s="8">
        <f>0.35*0.012</f>
        <v/>
      </c>
      <c r="L142" s="10">
        <f>J142/K142</f>
        <v/>
      </c>
    </row>
    <row r="143">
      <c r="A143" s="7" t="n">
        <v>139</v>
      </c>
      <c r="B143" s="6" t="n">
        <v>11233764.85111827</v>
      </c>
      <c r="C143" s="6" t="n">
        <v>4136762.201923607</v>
      </c>
      <c r="D143" s="8" t="n">
        <v>0.1042289011836774</v>
      </c>
      <c r="E143" s="9">
        <f>B143*D143</f>
        <v/>
      </c>
      <c r="F143" s="9">
        <f>C143*D143</f>
        <v/>
      </c>
      <c r="G143" s="6" t="n">
        <v>6662617.268752084</v>
      </c>
      <c r="H143" s="5" t="n">
        <v>68958016.29653081</v>
      </c>
      <c r="I143" s="9">
        <f>H143*38.36*0.012</f>
        <v/>
      </c>
      <c r="J143" s="9">
        <f>((45.69467414737735*D143)*0.34/(3046311.305193996+1))*52</f>
        <v/>
      </c>
      <c r="K143" s="8">
        <f>0.35*0.012</f>
        <v/>
      </c>
      <c r="L143" s="10">
        <f>J143/K143</f>
        <v/>
      </c>
    </row>
    <row r="144">
      <c r="A144" s="7" t="n">
        <v>140</v>
      </c>
      <c r="B144" s="6" t="n">
        <v>11261341.08633516</v>
      </c>
      <c r="C144" s="6" t="n">
        <v>4113600.703019459</v>
      </c>
      <c r="D144" s="8" t="n">
        <v>0.1042383107440145</v>
      </c>
      <c r="E144" s="9">
        <f>B144*D144</f>
        <v/>
      </c>
      <c r="F144" s="9">
        <f>C144*D144</f>
        <v/>
      </c>
      <c r="G144" s="6" t="n">
        <v>6683841.864459522</v>
      </c>
      <c r="H144" s="5" t="n">
        <v>69095298.14535907</v>
      </c>
      <c r="I144" s="9">
        <f>H144*38.36*0.012</f>
        <v/>
      </c>
      <c r="J144" s="9">
        <f>((43.87084398376869*D144)*0.34/(2924722.639778953+1))*52</f>
        <v/>
      </c>
      <c r="K144" s="8">
        <f>0.35*0.012</f>
        <v/>
      </c>
      <c r="L144" s="10">
        <f>J144/K144</f>
        <v/>
      </c>
    </row>
    <row r="145">
      <c r="A145" s="7" t="n">
        <v>141</v>
      </c>
      <c r="B145" s="6" t="n">
        <v>11288917.2726132</v>
      </c>
      <c r="C145" s="6" t="n">
        <v>4089364.686270603</v>
      </c>
      <c r="D145" s="8" t="n">
        <v>0.104059689401316</v>
      </c>
      <c r="E145" s="9">
        <f>B145*D145</f>
        <v/>
      </c>
      <c r="F145" s="9">
        <f>C145*D145</f>
        <v/>
      </c>
      <c r="G145" s="6" t="n">
        <v>6694934.881144309</v>
      </c>
      <c r="H145" s="5" t="n">
        <v>69228291.22223493</v>
      </c>
      <c r="I145" s="9">
        <f>H145*38.36*0.012</f>
        <v/>
      </c>
      <c r="J145" s="9">
        <f>((42.14362138889509*D145)*0.34/(2809574.478302197+1))*52</f>
        <v/>
      </c>
      <c r="K145" s="8">
        <f>0.35*0.012</f>
        <v/>
      </c>
      <c r="L145" s="10">
        <f>J145/K145</f>
        <v/>
      </c>
    </row>
    <row r="146">
      <c r="A146" s="7" t="n">
        <v>142</v>
      </c>
      <c r="B146" s="6" t="n">
        <v>11376492.00446179</v>
      </c>
      <c r="C146" s="6" t="n">
        <v>4005363.54370431</v>
      </c>
      <c r="D146" s="8" t="n">
        <v>0.1038298434217547</v>
      </c>
      <c r="E146" s="9">
        <f>B146*D146</f>
        <v/>
      </c>
      <c r="F146" s="9">
        <f>C146*D146</f>
        <v/>
      </c>
      <c r="G146" s="6" t="n">
        <v>6703182.000425654</v>
      </c>
      <c r="H146" s="5" t="n">
        <v>69357092.02090338</v>
      </c>
      <c r="I146" s="9">
        <f>H146*38.36*0.012</f>
        <v/>
      </c>
      <c r="J146" s="9">
        <f>((40.50527548097609*D146)*0.34/(2700351.4286965695+1))*52</f>
        <v/>
      </c>
      <c r="K146" s="8">
        <f>0.35*0.012</f>
        <v/>
      </c>
      <c r="L146" s="10">
        <f>J146/K146</f>
        <v/>
      </c>
    </row>
    <row r="147">
      <c r="A147" s="7" t="n">
        <v>143</v>
      </c>
      <c r="B147" s="6" t="n">
        <v>11509064.22358523</v>
      </c>
      <c r="C147" s="6" t="n">
        <v>3876898.315293213</v>
      </c>
      <c r="D147" s="8" t="n">
        <v>0.1038623714762374</v>
      </c>
      <c r="E147" s="9">
        <f>B147*D147</f>
        <v/>
      </c>
      <c r="F147" s="9">
        <f>C147*D147</f>
        <v/>
      </c>
      <c r="G147" s="6" t="n">
        <v>6725966.832013029</v>
      </c>
      <c r="H147" s="5" t="n">
        <v>69481797.53167588</v>
      </c>
      <c r="I147" s="9">
        <f>H147*38.36*0.012</f>
        <v/>
      </c>
      <c r="J147" s="9">
        <f>((38.94885839773953*D147)*0.34/(2596590.300190246+1))*52</f>
        <v/>
      </c>
      <c r="K147" s="8">
        <f>0.35*0.012</f>
        <v/>
      </c>
      <c r="L147" s="10">
        <f>J147/K147</f>
        <v/>
      </c>
    </row>
    <row r="148">
      <c r="A148" s="7" t="n">
        <v>144</v>
      </c>
      <c r="B148" s="6" t="n">
        <v>11576635.43729968</v>
      </c>
      <c r="C148" s="6" t="n">
        <v>3813960.109611166</v>
      </c>
      <c r="D148" s="8" t="n">
        <v>0.1036221938334017</v>
      </c>
      <c r="E148" s="9">
        <f>B148*D148</f>
        <v/>
      </c>
      <c r="F148" s="9">
        <f>C148*D148</f>
        <v/>
      </c>
      <c r="G148" s="6" t="n">
        <v>6734479.589578429</v>
      </c>
      <c r="H148" s="5" t="n">
        <v>69602505.00875914</v>
      </c>
      <c r="I148" s="9">
        <f>H148*38.36*0.012</f>
        <v/>
      </c>
      <c r="J148" s="9">
        <f>((37.46812234104595*D148)*0.34/(2497874.5729489145+1))*52</f>
        <v/>
      </c>
      <c r="K148" s="8">
        <f>0.35*0.012</f>
        <v/>
      </c>
      <c r="L148" s="10">
        <f>J148/K148</f>
        <v/>
      </c>
    </row>
    <row r="149">
      <c r="A149" s="7" t="n">
        <v>145</v>
      </c>
      <c r="B149" s="6" t="n">
        <v>11609206.62171802</v>
      </c>
      <c r="C149" s="6" t="n">
        <v>3786070.155517807</v>
      </c>
      <c r="D149" s="8" t="n">
        <v>0.1033761443427045</v>
      </c>
      <c r="E149" s="9">
        <f>B149*D149</f>
        <v/>
      </c>
      <c r="F149" s="9">
        <f>C149*D149</f>
        <v/>
      </c>
      <c r="G149" s="6" t="n">
        <v>6742944.292632493</v>
      </c>
      <c r="H149" s="5" t="n">
        <v>69719311.75294571</v>
      </c>
      <c r="I149" s="9">
        <f>H149*38.36*0.012</f>
        <v/>
      </c>
      <c r="J149" s="9">
        <f>((36.05744522428617*D149)*0.34/(2403829.44123611+1))*52</f>
        <v/>
      </c>
      <c r="K149" s="8">
        <f>0.35*0.012</f>
        <v/>
      </c>
      <c r="L149" s="10">
        <f>J149/K149</f>
        <v/>
      </c>
    </row>
    <row r="150">
      <c r="A150" s="7" t="n">
        <v>146</v>
      </c>
      <c r="B150" s="6" t="n">
        <v>11616778.37154998</v>
      </c>
      <c r="C150" s="6" t="n">
        <v>3782546.767036475</v>
      </c>
      <c r="D150" s="8" t="n">
        <v>0.1031213557345616</v>
      </c>
      <c r="E150" s="9">
        <f>B150*D150</f>
        <v/>
      </c>
      <c r="F150" s="9">
        <f>C150*D150</f>
        <v/>
      </c>
      <c r="G150" s="6" t="n">
        <v>6751253.62546601</v>
      </c>
      <c r="H150" s="5" t="n">
        <v>69832314.90937336</v>
      </c>
      <c r="I150" s="9">
        <f>H150*38.36*0.012</f>
        <v/>
      </c>
      <c r="J150" s="9">
        <f>((34.71176405641692*D150)*0.34/(2314117.372349368+1))*52</f>
        <v/>
      </c>
      <c r="K150" s="8">
        <f>0.35*0.012</f>
        <v/>
      </c>
      <c r="L150" s="10">
        <f>J150/K150</f>
        <v/>
      </c>
    </row>
    <row r="151">
      <c r="A151" s="7" t="n">
        <v>147</v>
      </c>
      <c r="B151" s="6" t="n">
        <v>11619350.8130662</v>
      </c>
      <c r="C151" s="6" t="n">
        <v>3784358.286420082</v>
      </c>
      <c r="D151" s="8" t="n">
        <v>0.102758083529584</v>
      </c>
      <c r="E151" s="9">
        <f>B151*D151</f>
        <v/>
      </c>
      <c r="F151" s="9">
        <f>C151*D151</f>
        <v/>
      </c>
      <c r="G151" s="6" t="n">
        <v>6754078.107474446</v>
      </c>
      <c r="H151" s="5" t="n">
        <v>69941611.28000014</v>
      </c>
      <c r="I151" s="9">
        <f>H151*38.36*0.012</f>
        <v/>
      </c>
      <c r="J151" s="9">
        <f>((33.42651528190339*D151)*0.34/(2228434.129283458+1))*52</f>
        <v/>
      </c>
      <c r="K151" s="8">
        <f>0.35*0.012</f>
        <v/>
      </c>
      <c r="L151" s="10">
        <f>J151/K151</f>
        <v/>
      </c>
    </row>
    <row r="152">
      <c r="A152" s="7" t="n">
        <v>148</v>
      </c>
      <c r="B152" s="6" t="n">
        <v>11616924.12381097</v>
      </c>
      <c r="C152" s="6" t="n">
        <v>3791584.006582403</v>
      </c>
      <c r="D152" s="8" t="n">
        <v>0.1024588175149803</v>
      </c>
      <c r="E152" s="9">
        <f>B152*D152</f>
        <v/>
      </c>
      <c r="F152" s="9">
        <f>C152*D152</f>
        <v/>
      </c>
      <c r="G152" s="6" t="n">
        <v>6759821.294346682</v>
      </c>
      <c r="H152" s="5" t="n">
        <v>70047297.15039025</v>
      </c>
      <c r="I152" s="9">
        <f>H152*38.36*0.012</f>
        <v/>
      </c>
      <c r="J152" s="9">
        <f>((32.197581372887235*D152)*0.34/(2146505.210208607+1))*52</f>
        <v/>
      </c>
      <c r="K152" s="8">
        <f>0.35*0.012</f>
        <v/>
      </c>
      <c r="L152" s="10">
        <f>J152/K152</f>
        <v/>
      </c>
    </row>
    <row r="153">
      <c r="A153" s="7" t="n">
        <v>149</v>
      </c>
      <c r="B153" s="6" t="n">
        <v>11614498.24989199</v>
      </c>
      <c r="C153" s="6" t="n">
        <v>3797872.169442148</v>
      </c>
      <c r="D153" s="8" t="n">
        <v>0.102201502811819</v>
      </c>
      <c r="E153" s="9">
        <f>B153*D153</f>
        <v/>
      </c>
      <c r="F153" s="9">
        <f>C153*D153</f>
        <v/>
      </c>
      <c r="G153" s="6" t="n">
        <v>6768236.99146097</v>
      </c>
      <c r="H153" s="5" t="n">
        <v>70149468.13036349</v>
      </c>
      <c r="I153" s="9">
        <f>H153*38.36*0.012</f>
        <v/>
      </c>
      <c r="J153" s="9">
        <f>((31.021243039405327*D153)*0.34/(2068082.6624854018+1))*52</f>
        <v/>
      </c>
      <c r="K153" s="8">
        <f>0.35*0.012</f>
        <v/>
      </c>
      <c r="L153" s="10">
        <f>J153/K153</f>
        <v/>
      </c>
    </row>
    <row r="154">
      <c r="A154" s="7" t="n">
        <v>150</v>
      </c>
      <c r="B154" s="6" t="n">
        <v>11612073.17523867</v>
      </c>
      <c r="C154" s="6" t="n">
        <v>3804347.849160796</v>
      </c>
      <c r="D154" s="8" t="n">
        <v>0.1020203004689876</v>
      </c>
      <c r="E154" s="9">
        <f>B154*D154</f>
        <v/>
      </c>
      <c r="F154" s="9">
        <f>C154*D154</f>
        <v/>
      </c>
      <c r="G154" s="6" t="n">
        <v>6779510.46261644</v>
      </c>
      <c r="H154" s="5" t="n">
        <v>70248219.0080252</v>
      </c>
      <c r="I154" s="9">
        <f>H154*38.36*0.012</f>
        <v/>
      </c>
      <c r="J154" s="9">
        <f>((29.89413648620052*D154)*0.34/(1992942.233119125+1))*52</f>
        <v/>
      </c>
      <c r="K154" s="8">
        <f>0.35*0.012</f>
        <v/>
      </c>
      <c r="L154" s="10">
        <f>J154/K154</f>
        <v/>
      </c>
    </row>
    <row r="155">
      <c r="A155" s="7" t="n">
        <v>151</v>
      </c>
      <c r="B155" s="6" t="n">
        <v>11609648.86522454</v>
      </c>
      <c r="C155" s="6" t="n">
        <v>3810705.685898513</v>
      </c>
      <c r="D155" s="8" t="n">
        <v>0.101726648051984</v>
      </c>
      <c r="E155" s="9">
        <f>B155*D155</f>
        <v/>
      </c>
      <c r="F155" s="9">
        <f>C155*D155</f>
        <v/>
      </c>
      <c r="G155" s="6" t="n">
        <v>6785070.80143651</v>
      </c>
      <c r="H155" s="5" t="n">
        <v>70343643.61666644</v>
      </c>
      <c r="I155" s="9">
        <f>H155*38.36*0.012</f>
        <v/>
      </c>
      <c r="J155" s="9">
        <f>((28.813215201254444*D155)*0.34/(1920880.8213288619+1))*52</f>
        <v/>
      </c>
      <c r="K155" s="8">
        <f>0.35*0.012</f>
        <v/>
      </c>
      <c r="L155" s="10">
        <f>J155/K155</f>
        <v/>
      </c>
    </row>
    <row r="156">
      <c r="A156" s="7" t="n">
        <v>152</v>
      </c>
      <c r="B156" s="6" t="n">
        <v>11612225.25745149</v>
      </c>
      <c r="C156" s="6" t="n">
        <v>3812503.07581489</v>
      </c>
      <c r="D156" s="8" t="n">
        <v>0.1015455951865963</v>
      </c>
      <c r="E156" s="9">
        <f>B156*D156</f>
        <v/>
      </c>
      <c r="F156" s="9">
        <f>C156*D156</f>
        <v/>
      </c>
      <c r="G156" s="6" t="n">
        <v>6795931.175605837</v>
      </c>
      <c r="H156" s="5" t="n">
        <v>70435834.71400195</v>
      </c>
      <c r="I156" s="9">
        <f>H156*38.36*0.012</f>
        <v/>
      </c>
      <c r="J156" s="9">
        <f>((27.775715812221563*D156)*0.34/(1851714.202309999+1))*52</f>
        <v/>
      </c>
      <c r="K156" s="8">
        <f>0.35*0.012</f>
        <v/>
      </c>
      <c r="L156" s="10">
        <f>J156/K156</f>
        <v/>
      </c>
    </row>
    <row r="157">
      <c r="A157" s="7" t="n">
        <v>153</v>
      </c>
      <c r="B157" s="6" t="n">
        <v>11609802.39667904</v>
      </c>
      <c r="C157" s="6" t="n">
        <v>3817771.712141988</v>
      </c>
      <c r="D157" s="8" t="n">
        <v>0.1017140570889286</v>
      </c>
      <c r="E157" s="9">
        <f>B157*D157</f>
        <v/>
      </c>
      <c r="F157" s="9">
        <f>C157*D157</f>
        <v/>
      </c>
      <c r="G157" s="6" t="n">
        <v>6824162.645077312</v>
      </c>
      <c r="H157" s="5" t="n">
        <v>70524883.87319882</v>
      </c>
      <c r="I157" s="9">
        <f>H157*38.36*0.012</f>
        <v/>
      </c>
      <c r="J157" s="9">
        <f>((26.779127593035188*D157)*0.34/(1785274.9943414954+1))*52</f>
        <v/>
      </c>
      <c r="K157" s="8">
        <f>0.35*0.012</f>
        <v/>
      </c>
      <c r="L157" s="10">
        <f>J157/K157</f>
        <v/>
      </c>
    </row>
    <row r="158">
      <c r="A158" s="7" t="n">
        <v>154</v>
      </c>
      <c r="B158" s="6" t="n">
        <v>11622379.81829547</v>
      </c>
      <c r="C158" s="6" t="n">
        <v>3807945.464488444</v>
      </c>
      <c r="D158" s="8" t="n">
        <v>0.1024196022026118</v>
      </c>
      <c r="E158" s="9">
        <f>B158*D158</f>
        <v/>
      </c>
      <c r="F158" s="9">
        <f>C158*D158</f>
        <v/>
      </c>
      <c r="G158" s="6" t="n">
        <v>6879237.495789467</v>
      </c>
      <c r="H158" s="5" t="n">
        <v>70610881.38513775</v>
      </c>
      <c r="I158" s="9">
        <f>H158*38.36*0.012</f>
        <v/>
      </c>
      <c r="J158" s="9">
        <f>((25.821165244505377*D158)*0.34/(1721410.844159257+1))*52</f>
        <v/>
      </c>
      <c r="K158" s="8">
        <f>0.35*0.012</f>
        <v/>
      </c>
      <c r="L158" s="10">
        <f>J158/K158</f>
        <v/>
      </c>
    </row>
    <row r="159">
      <c r="A159" s="7" t="n">
        <v>155</v>
      </c>
      <c r="B159" s="6" t="n">
        <v>11629957.44895892</v>
      </c>
      <c r="C159" s="6" t="n">
        <v>3803191.360114207</v>
      </c>
      <c r="D159" s="8" t="n">
        <v>0.1031976564495571</v>
      </c>
      <c r="E159" s="9">
        <f>B159*D159</f>
        <v/>
      </c>
      <c r="F159" s="9">
        <f>C159*D159</f>
        <v/>
      </c>
      <c r="G159" s="6" t="n">
        <v>6938201.983056355</v>
      </c>
      <c r="H159" s="5" t="n">
        <v>70693916.1713445</v>
      </c>
      <c r="I159" s="9">
        <f>H159*38.36*0.012</f>
        <v/>
      </c>
      <c r="J159" s="9">
        <f>((24.899744610259393*D159)*0.34/(1659982.8080189957+1))*52</f>
        <v/>
      </c>
      <c r="K159" s="8">
        <f>0.35*0.012</f>
        <v/>
      </c>
      <c r="L159" s="10">
        <f>J159/K159</f>
        <v/>
      </c>
    </row>
    <row r="160">
      <c r="A160" s="7" t="n">
        <v>156</v>
      </c>
      <c r="B160" s="6" t="n">
        <v>11677534.31083087</v>
      </c>
      <c r="C160" s="6" t="n">
        <v>3759296.056974518</v>
      </c>
      <c r="D160" s="8" t="n">
        <v>0.1033537148660374</v>
      </c>
      <c r="E160" s="9">
        <f>B160*D160</f>
        <v/>
      </c>
      <c r="F160" s="9">
        <f>C160*D160</f>
        <v/>
      </c>
      <c r="G160" s="6" t="n">
        <v>6966422.861022421</v>
      </c>
      <c r="H160" s="5" t="n">
        <v>70774075.70702732</v>
      </c>
      <c r="I160" s="9">
        <f>H160*38.36*0.012</f>
        <v/>
      </c>
      <c r="J160" s="9">
        <f>((24.012961023208938*D160)*0.34/(1600863.9081275226+1))*52</f>
        <v/>
      </c>
      <c r="K160" s="8">
        <f>0.35*0.012</f>
        <v/>
      </c>
      <c r="L160" s="10">
        <f>J160/K160</f>
        <v/>
      </c>
    </row>
    <row r="161">
      <c r="A161" s="7" t="n">
        <v>157</v>
      </c>
      <c r="B161" s="6" t="n">
        <v>11730110.50083063</v>
      </c>
      <c r="C161" s="6" t="n">
        <v>3710118.659324577</v>
      </c>
      <c r="D161" s="8" t="n">
        <v>0.1035603550876713</v>
      </c>
      <c r="E161" s="9">
        <f>B161*D161</f>
        <v/>
      </c>
      <c r="F161" s="9">
        <f>C161*D161</f>
        <v/>
      </c>
      <c r="G161" s="6" t="n">
        <v>6997148.87712545</v>
      </c>
      <c r="H161" s="5" t="n">
        <v>70851445.95365997</v>
      </c>
      <c r="I161" s="9">
        <f>H161*38.36*0.012</f>
        <v/>
      </c>
      <c r="J161" s="9">
        <f>((23.159070008281564*D161)*0.34/(1543937.8461583043+1))*52</f>
        <v/>
      </c>
      <c r="K161" s="8">
        <f>0.35*0.012</f>
        <v/>
      </c>
      <c r="L161" s="10">
        <f>J161/K161</f>
        <v/>
      </c>
    </row>
    <row r="162">
      <c r="A162" s="7" t="n">
        <v>158</v>
      </c>
      <c r="B162" s="6" t="n">
        <v>11787685.91120836</v>
      </c>
      <c r="C162" s="6" t="n">
        <v>3657084.3316174</v>
      </c>
      <c r="D162" s="8" t="n">
        <v>0.1037272288329626</v>
      </c>
      <c r="E162" s="9">
        <f>B162*D162</f>
        <v/>
      </c>
      <c r="F162" s="9">
        <f>C162*D162</f>
        <v/>
      </c>
      <c r="G162" s="6" t="n">
        <v>7025136.844718266</v>
      </c>
      <c r="H162" s="5" t="n">
        <v>70926111.30055487</v>
      </c>
      <c r="I162" s="9">
        <f>H162*38.36*0.012</f>
        <v/>
      </c>
      <c r="J162" s="9">
        <f>((22.336470094682216*D162)*0.34/(1489097.8574023473+1))*52</f>
        <v/>
      </c>
      <c r="K162" s="8">
        <f>0.35*0.012</f>
        <v/>
      </c>
      <c r="L162" s="10">
        <f>J162/K162</f>
        <v/>
      </c>
    </row>
    <row r="163">
      <c r="A163" s="7" t="n">
        <v>159</v>
      </c>
      <c r="B163" s="6" t="n">
        <v>11825261.01446513</v>
      </c>
      <c r="C163" s="6" t="n">
        <v>3623639.122954539</v>
      </c>
      <c r="D163" s="8" t="n">
        <v>0.1035749480965783</v>
      </c>
      <c r="E163" s="9">
        <f>B163*D163</f>
        <v/>
      </c>
      <c r="F163" s="9">
        <f>C163*D163</f>
        <v/>
      </c>
      <c r="G163" s="6" t="n">
        <v>7039943.220879528</v>
      </c>
      <c r="H163" s="5" t="n">
        <v>70998154.51488118</v>
      </c>
      <c r="I163" s="9">
        <f>H163*38.36*0.012</f>
        <v/>
      </c>
      <c r="J163" s="9">
        <f>((21.543687515826434*D163)*0.34/(1436245.6907638456+1))*52</f>
        <v/>
      </c>
      <c r="K163" s="8">
        <f>0.35*0.012</f>
        <v/>
      </c>
      <c r="L163" s="10">
        <f>J163/K163</f>
        <v/>
      </c>
    </row>
    <row r="164">
      <c r="A164" s="7" t="n">
        <v>160</v>
      </c>
      <c r="B164" s="6" t="n">
        <v>11922834.47176292</v>
      </c>
      <c r="C164" s="6" t="n">
        <v>3530137.886091912</v>
      </c>
      <c r="D164" s="8" t="n">
        <v>0.1033327983504311</v>
      </c>
      <c r="E164" s="9">
        <f>B164*D164</f>
        <v/>
      </c>
      <c r="F164" s="9">
        <f>C164*D164</f>
        <v/>
      </c>
      <c r="G164" s="6" t="n">
        <v>7047506.37788639</v>
      </c>
      <c r="H164" s="5" t="n">
        <v>71067656.69959298</v>
      </c>
      <c r="I164" s="9">
        <f>H164*38.36*0.012</f>
        <v/>
      </c>
      <c r="J164" s="9">
        <f>((20.77936259748408*D164)*0.34/(1385290.7013031882+1))*52</f>
        <v/>
      </c>
      <c r="K164" s="8">
        <f>0.35*0.012</f>
        <v/>
      </c>
      <c r="L164" s="10">
        <f>J164/K164</f>
        <v/>
      </c>
    </row>
    <row r="165">
      <c r="A165" s="7" t="n">
        <v>161</v>
      </c>
      <c r="B165" s="6" t="n">
        <v>12030406.0987182</v>
      </c>
      <c r="C165" s="6" t="n">
        <v>3426564.858005841</v>
      </c>
      <c r="D165" s="8" t="n">
        <v>0.1030518615058441</v>
      </c>
      <c r="E165" s="9">
        <f>B165*D165</f>
        <v/>
      </c>
      <c r="F165" s="9">
        <f>C165*D165</f>
        <v/>
      </c>
      <c r="G165" s="6" t="n">
        <v>7054957.434761447</v>
      </c>
      <c r="H165" s="5" t="n">
        <v>71134697.25874734</v>
      </c>
      <c r="I165" s="9">
        <f>H165*38.36*0.012</f>
        <v/>
      </c>
      <c r="J165" s="9">
        <f>((20.042237654904255*D165)*0.34/(1336149.0433786996+1))*52</f>
        <v/>
      </c>
      <c r="K165" s="8">
        <f>0.35*0.012</f>
        <v/>
      </c>
      <c r="L165" s="10">
        <f>J165/K165</f>
        <v/>
      </c>
    </row>
    <row r="166">
      <c r="A166" s="7" t="n">
        <v>162</v>
      </c>
      <c r="B166" s="6" t="n">
        <v>12062977.69823954</v>
      </c>
      <c r="C166" s="6" t="n">
        <v>3398471.148174291</v>
      </c>
      <c r="D166" s="8" t="n">
        <v>0.1028559829373185</v>
      </c>
      <c r="E166" s="9">
        <f>B166*D166</f>
        <v/>
      </c>
      <c r="F166" s="9">
        <f>C166*D166</f>
        <v/>
      </c>
      <c r="G166" s="6" t="n">
        <v>7065466.257702769</v>
      </c>
      <c r="H166" s="5" t="n">
        <v>71199353.86970632</v>
      </c>
      <c r="I166" s="9">
        <f>H166*38.36*0.012</f>
        <v/>
      </c>
      <c r="J166" s="9">
        <f>((19.331146237906637*D166)*0.34/(1288742.953652801+1))*52</f>
        <v/>
      </c>
      <c r="K166" s="8">
        <f>0.35*0.012</f>
        <v/>
      </c>
      <c r="L166" s="10">
        <f>J166/K166</f>
        <v/>
      </c>
    </row>
    <row r="167">
      <c r="A167" s="7" t="n">
        <v>163</v>
      </c>
      <c r="B167" s="6" t="n">
        <v>12070549.83940348</v>
      </c>
      <c r="C167" s="6" t="n">
        <v>3395534.109023343</v>
      </c>
      <c r="D167" s="8" t="n">
        <v>0.1025102378062788</v>
      </c>
      <c r="E167" s="9">
        <f>B167*D167</f>
        <v/>
      </c>
      <c r="F167" s="9">
        <f>C167*D167</f>
        <v/>
      </c>
      <c r="G167" s="6" t="n">
        <v>7068318.365274351</v>
      </c>
      <c r="H167" s="5" t="n">
        <v>71261702.46173418</v>
      </c>
      <c r="I167" s="9">
        <f>H167*38.36*0.012</f>
        <v/>
      </c>
      <c r="J167" s="9">
        <f>((18.645003579370403*D167)*0.34/(1243000.1143246698+1))*52</f>
        <v/>
      </c>
      <c r="K167" s="8">
        <f>0.35*0.012</f>
        <v/>
      </c>
      <c r="L167" s="10">
        <f>J167/K167</f>
        <v/>
      </c>
    </row>
    <row r="168">
      <c r="A168" s="7" t="n">
        <v>164</v>
      </c>
      <c r="B168" s="6" t="n">
        <v>12073122.68443049</v>
      </c>
      <c r="C168" s="6" t="n">
        <v>3397278.764536166</v>
      </c>
      <c r="D168" s="8" t="n">
        <v>0.1021976827959709</v>
      </c>
      <c r="E168" s="9">
        <f>B168*D168</f>
        <v/>
      </c>
      <c r="F168" s="9">
        <f>C168*D168</f>
        <v/>
      </c>
      <c r="G168" s="6" t="n">
        <v>7073619.633108361</v>
      </c>
      <c r="H168" s="5" t="n">
        <v>71321817.20051874</v>
      </c>
      <c r="I168" s="9">
        <f>H168*38.36*0.012</f>
        <v/>
      </c>
      <c r="J168" s="9">
        <f>((17.98279811735396*D168)*0.34/(1198853.0879382766+1))*52</f>
        <v/>
      </c>
      <c r="K168" s="8">
        <f>0.35*0.012</f>
        <v/>
      </c>
      <c r="L168" s="10">
        <f>J168/K168</f>
        <v/>
      </c>
    </row>
    <row r="169">
      <c r="A169" s="7" t="n">
        <v>165</v>
      </c>
      <c r="B169" s="6" t="n">
        <v>12075696.22218869</v>
      </c>
      <c r="C169" s="6" t="n">
        <v>3399304.427927139</v>
      </c>
      <c r="D169" s="8" t="n">
        <v>0.1019413586313602</v>
      </c>
      <c r="E169" s="9">
        <f>B169*D169</f>
        <v/>
      </c>
      <c r="F169" s="9">
        <f>C169*D169</f>
        <v/>
      </c>
      <c r="G169" s="6" t="n">
        <v>7081331.149241853</v>
      </c>
      <c r="H169" s="5" t="n">
        <v>71379770.47816427</v>
      </c>
      <c r="I169" s="9">
        <f>H169*38.36*0.012</f>
        <v/>
      </c>
      <c r="J169" s="9">
        <f>((17.343583974435695*D169)*0.34/(1156238.8160051533+1))*52</f>
        <v/>
      </c>
      <c r="K169" s="8">
        <f>0.35*0.012</f>
        <v/>
      </c>
      <c r="L169" s="10">
        <f>J169/K169</f>
        <v/>
      </c>
    </row>
    <row r="170">
      <c r="A170" s="7" t="n">
        <v>166</v>
      </c>
      <c r="B170" s="6" t="n">
        <v>12073270.53844463</v>
      </c>
      <c r="C170" s="6" t="n">
        <v>3405873.071121716</v>
      </c>
      <c r="D170" s="8" t="n">
        <v>0.1017296600246846</v>
      </c>
      <c r="E170" s="9">
        <f>B170*D170</f>
        <v/>
      </c>
      <c r="F170" s="9">
        <f>C170*D170</f>
        <v/>
      </c>
      <c r="G170" s="6" t="n">
        <v>7091481.301953163</v>
      </c>
      <c r="H170" s="5" t="n">
        <v>71435632.90822279</v>
      </c>
      <c r="I170" s="9">
        <f>H170*38.36*0.012</f>
        <v/>
      </c>
      <c r="J170" s="9">
        <f>((16.72647428988748*D170)*0.34/(1115098.1744826701+1))*52</f>
        <v/>
      </c>
      <c r="K170" s="8">
        <f>0.35*0.012</f>
        <v/>
      </c>
      <c r="L170" s="10">
        <f>J170/K170</f>
        <v/>
      </c>
    </row>
    <row r="171">
      <c r="A171" s="7" t="n">
        <v>167</v>
      </c>
      <c r="B171" s="6" t="n">
        <v>12070845.61343842</v>
      </c>
      <c r="C171" s="6" t="n">
        <v>3412447.459811543</v>
      </c>
      <c r="D171" s="8" t="n">
        <v>0.1015767281976611</v>
      </c>
      <c r="E171" s="9">
        <f>B171*D171</f>
        <v/>
      </c>
      <c r="F171" s="9">
        <f>C171*D171</f>
        <v/>
      </c>
      <c r="G171" s="6" t="n">
        <v>7103901.933393365</v>
      </c>
      <c r="H171" s="5" t="n">
        <v>71489473.3253499</v>
      </c>
      <c r="I171" s="9">
        <f>H171*38.36*0.012</f>
        <v/>
      </c>
      <c r="J171" s="9">
        <f>((16.130635311121853*D171)*0.34/(1075375.5798705549+1))*52</f>
        <v/>
      </c>
      <c r="K171" s="8">
        <f>0.35*0.012</f>
        <v/>
      </c>
      <c r="L171" s="10">
        <f>J171/K171</f>
        <v/>
      </c>
    </row>
    <row r="172">
      <c r="A172" s="7" t="n">
        <v>168</v>
      </c>
      <c r="B172" s="6" t="n">
        <v>12068421.42163804</v>
      </c>
      <c r="C172" s="6" t="n">
        <v>3418705.258190251</v>
      </c>
      <c r="D172" s="8" t="n">
        <v>0.1015072893000046</v>
      </c>
      <c r="E172" s="9">
        <f>B172*D172</f>
        <v/>
      </c>
      <c r="F172" s="9">
        <f>C172*D172</f>
        <v/>
      </c>
      <c r="G172" s="6" t="n">
        <v>7121526.746190518</v>
      </c>
      <c r="H172" s="5" t="n">
        <v>71541358.78919101</v>
      </c>
      <c r="I172" s="9">
        <f>H172*38.36*0.012</f>
        <v/>
      </c>
      <c r="J172" s="9">
        <f>((15.555281160602814*D172)*0.34/(1037018.6403383133+1))*52</f>
        <v/>
      </c>
      <c r="K172" s="8">
        <f>0.35*0.012</f>
        <v/>
      </c>
      <c r="L172" s="10">
        <f>J172/K172</f>
        <v/>
      </c>
    </row>
    <row r="173">
      <c r="A173" s="7" t="n">
        <v>169</v>
      </c>
      <c r="B173" s="6" t="n">
        <v>12065997.9051667</v>
      </c>
      <c r="C173" s="6" t="n">
        <v>3424369.467844011</v>
      </c>
      <c r="D173" s="8" t="n">
        <v>0.1014579414544968</v>
      </c>
      <c r="E173" s="9">
        <f>B173*D173</f>
        <v/>
      </c>
      <c r="F173" s="9">
        <f>C173*D173</f>
        <v/>
      </c>
      <c r="G173" s="6" t="n">
        <v>7138757.8105636</v>
      </c>
      <c r="H173" s="5" t="n">
        <v>78877604.59212457</v>
      </c>
      <c r="I173" s="9">
        <f>H173*38.36*0.012</f>
        <v/>
      </c>
      <c r="J173" s="9">
        <f>((160.7246837757066*D173)*0.34/(10714977.84688255+1))*52</f>
        <v/>
      </c>
      <c r="K173" s="8">
        <f>0.35*0.012</f>
        <v/>
      </c>
      <c r="L173" s="10">
        <f>J173/K173</f>
        <v/>
      </c>
    </row>
    <row r="174">
      <c r="A174" s="7" t="n">
        <v>170</v>
      </c>
      <c r="B174" s="6" t="n">
        <v>12063575.10881985</v>
      </c>
      <c r="C174" s="6" t="n">
        <v>3430794.124658493</v>
      </c>
      <c r="D174" s="8" t="n">
        <v>0.1019977605421485</v>
      </c>
      <c r="E174" s="9">
        <f>B174*D174</f>
        <v/>
      </c>
      <c r="F174" s="9">
        <f>C174*D174</f>
        <v/>
      </c>
      <c r="G174" s="6" t="n">
        <v>7185555.555919874</v>
      </c>
      <c r="H174" s="5" t="n">
        <v>77468524.2705071</v>
      </c>
      <c r="I174" s="9">
        <f>H174*38.36*0.012</f>
        <v/>
      </c>
      <c r="J174" s="9">
        <f>((144.65221539813595*D174)*0.34/(9643480.062194295+1))*52</f>
        <v/>
      </c>
      <c r="K174" s="8">
        <f>0.35*0.012</f>
        <v/>
      </c>
      <c r="L174" s="10">
        <f>J174/K174</f>
        <v/>
      </c>
    </row>
    <row r="175">
      <c r="A175" s="7" t="n">
        <v>171</v>
      </c>
      <c r="B175" s="6" t="n">
        <v>12066152.69540775</v>
      </c>
      <c r="C175" s="6" t="n">
        <v>3430978.037673851</v>
      </c>
      <c r="D175" s="8" t="n">
        <v>0.1031153659905054</v>
      </c>
      <c r="E175" s="9">
        <f>B175*D175</f>
        <v/>
      </c>
      <c r="F175" s="9">
        <f>C175*D175</f>
        <v/>
      </c>
      <c r="G175" s="6" t="n">
        <v>7261318.470370049</v>
      </c>
      <c r="H175" s="5" t="n">
        <v>76349129.6190861</v>
      </c>
      <c r="I175" s="9">
        <f>H175*38.36*0.012</f>
        <v/>
      </c>
      <c r="J175" s="9">
        <f>((130.18699385832235*D175)*0.34/(8679132.055974865+1))*52</f>
        <v/>
      </c>
      <c r="K175" s="8">
        <f>0.35*0.012</f>
        <v/>
      </c>
      <c r="L175" s="10">
        <f>J175/K175</f>
        <v/>
      </c>
    </row>
    <row r="176">
      <c r="A176" s="7" t="n">
        <v>172</v>
      </c>
      <c r="B176" s="6" t="n">
        <v>12073730.33155826</v>
      </c>
      <c r="C176" s="6" t="n">
        <v>3426914.229261565</v>
      </c>
      <c r="D176" s="8" t="n">
        <v>0.103287404988699</v>
      </c>
      <c r="E176" s="9">
        <f>B176*D176</f>
        <v/>
      </c>
      <c r="F176" s="9">
        <f>C176*D176</f>
        <v/>
      </c>
      <c r="G176" s="6" t="n">
        <v>7290554.993434285</v>
      </c>
      <c r="H176" s="5" t="n">
        <v>75461190.70826447</v>
      </c>
      <c r="I176" s="9">
        <f>H176*38.36*0.012</f>
        <v/>
      </c>
      <c r="J176" s="9">
        <f>((117.16829447249012*D176)*0.34/(7811218.850377379+1))*52</f>
        <v/>
      </c>
      <c r="K176" s="8">
        <f>0.35*0.012</f>
        <v/>
      </c>
      <c r="L176" s="10">
        <f>J176/K176</f>
        <v/>
      </c>
    </row>
    <row r="177">
      <c r="A177" s="7" t="n">
        <v>173</v>
      </c>
      <c r="B177" s="6" t="n">
        <v>12106307.7754041</v>
      </c>
      <c r="C177" s="6" t="n">
        <v>3398052.918997427</v>
      </c>
      <c r="D177" s="8" t="n">
        <v>0.1034227138619268</v>
      </c>
      <c r="E177" s="9">
        <f>B177*D177</f>
        <v/>
      </c>
      <c r="F177" s="9">
        <f>C177*D177</f>
        <v/>
      </c>
      <c r="G177" s="6" t="n">
        <v>7317238.585031063</v>
      </c>
      <c r="H177" s="5" t="n">
        <v>74758133.90392038</v>
      </c>
      <c r="I177" s="9">
        <f>H177*38.36*0.012</f>
        <v/>
      </c>
      <c r="J177" s="9">
        <f>((105.4514650252411*D177)*0.34/(7030096.965339641+1))*52</f>
        <v/>
      </c>
      <c r="K177" s="8">
        <f>0.35*0.012</f>
        <v/>
      </c>
      <c r="L177" s="10">
        <f>J177/K177</f>
        <v/>
      </c>
    </row>
    <row r="178">
      <c r="A178" s="7" t="n">
        <v>174</v>
      </c>
      <c r="B178" s="6" t="n">
        <v>12138885.03798028</v>
      </c>
      <c r="C178" s="6" t="n">
        <v>3369345.286990805</v>
      </c>
      <c r="D178" s="8" t="n">
        <v>0.10328499832243</v>
      </c>
      <c r="E178" s="9">
        <f>B178*D178</f>
        <v/>
      </c>
      <c r="F178" s="9">
        <f>C178*D178</f>
        <v/>
      </c>
      <c r="G178" s="6" t="n">
        <v>7331336.393332367</v>
      </c>
      <c r="H178" s="5" t="n">
        <v>74202710.28950351</v>
      </c>
      <c r="I178" s="9">
        <f>H178*38.36*0.012</f>
        <v/>
      </c>
      <c r="J178" s="9">
        <f>((94.906318522717*D178)*0.34/(6327087.268805677+1))*52</f>
        <v/>
      </c>
      <c r="K178" s="8">
        <f>0.35*0.012</f>
        <v/>
      </c>
      <c r="L178" s="10">
        <f>J178/K178</f>
        <v/>
      </c>
    </row>
    <row r="179">
      <c r="A179" s="7" t="n">
        <v>175</v>
      </c>
      <c r="B179" s="6" t="n">
        <v>12201461.54198788</v>
      </c>
      <c r="C179" s="6" t="n">
        <v>3311580.06811473</v>
      </c>
      <c r="D179" s="8" t="n">
        <v>0.1029575526155178</v>
      </c>
      <c r="E179" s="9">
        <f>B179*D179</f>
        <v/>
      </c>
      <c r="F179" s="9">
        <f>C179*D179</f>
        <v/>
      </c>
      <c r="G179" s="6" t="n">
        <v>7336634.216765</v>
      </c>
      <c r="H179" s="5" t="n">
        <v>73765130.41014752</v>
      </c>
      <c r="I179" s="9">
        <f>H179*38.36*0.012</f>
        <v/>
      </c>
      <c r="J179" s="9">
        <f>((85.41568667044531*D179)*0.34/(5694378.54192511+1))*52</f>
        <v/>
      </c>
      <c r="K179" s="8">
        <f>0.35*0.012</f>
        <v/>
      </c>
      <c r="L179" s="10">
        <f>J179/K179</f>
        <v/>
      </c>
    </row>
    <row r="180">
      <c r="A180" s="7" t="n">
        <v>176</v>
      </c>
      <c r="B180" s="6" t="n">
        <v>12279036.98399857</v>
      </c>
      <c r="C180" s="6" t="n">
        <v>3238015.594317021</v>
      </c>
      <c r="D180" s="8" t="n">
        <v>0.1026938310037041</v>
      </c>
      <c r="E180" s="9">
        <f>B180*D180</f>
        <v/>
      </c>
      <c r="F180" s="9">
        <f>C180*D180</f>
        <v/>
      </c>
      <c r="G180" s="6" t="n">
        <v>7343482.901024533</v>
      </c>
      <c r="H180" s="5" t="n">
        <v>73421572.07455456</v>
      </c>
      <c r="I180" s="9">
        <f>H180*38.36*0.012</f>
        <v/>
      </c>
      <c r="J180" s="9">
        <f>((76.87411800340077*D180)*0.34/(5124940.687732599+1))*52</f>
        <v/>
      </c>
      <c r="K180" s="8">
        <f>0.35*0.012</f>
        <v/>
      </c>
      <c r="L180" s="10">
        <f>J180/K180</f>
        <v/>
      </c>
    </row>
    <row r="181">
      <c r="A181" s="7" t="n">
        <v>177</v>
      </c>
      <c r="B181" s="6" t="n">
        <v>12386610.6791476</v>
      </c>
      <c r="C181" s="6" t="n">
        <v>3134842.886281626</v>
      </c>
      <c r="D181" s="8" t="n">
        <v>0.1024004394359441</v>
      </c>
      <c r="E181" s="9">
        <f>B181*D181</f>
        <v/>
      </c>
      <c r="F181" s="9">
        <f>C181*D181</f>
        <v/>
      </c>
      <c r="G181" s="6" t="n">
        <v>7350674.869515156</v>
      </c>
      <c r="H181" s="5" t="n">
        <v>71930556.70242572</v>
      </c>
      <c r="I181" s="9">
        <f>H181*38.36*0.012</f>
        <v/>
      </c>
      <c r="J181" s="9">
        <f>((69.18670620306071*D181)*0.34/(4612446.618959339+1))*52</f>
        <v/>
      </c>
      <c r="K181" s="8">
        <f>0.35*0.012</f>
        <v/>
      </c>
      <c r="L181" s="10">
        <f>J181/K181</f>
        <v/>
      </c>
    </row>
    <row r="182">
      <c r="A182" s="7" t="n">
        <v>178</v>
      </c>
      <c r="B182" s="6" t="n">
        <v>12469183.18961402</v>
      </c>
      <c r="C182" s="6" t="n">
        <v>3056312.121743709</v>
      </c>
      <c r="D182" s="8" t="n">
        <v>0.1021736694716175</v>
      </c>
      <c r="E182" s="9">
        <f>B182*D182</f>
        <v/>
      </c>
      <c r="F182" s="9">
        <f>C182*D182</f>
        <v/>
      </c>
      <c r="G182" s="6" t="n">
        <v>7359553.385772664</v>
      </c>
      <c r="H182" s="5" t="n">
        <v>71966199.91322538</v>
      </c>
      <c r="I182" s="9">
        <f>H182*38.36*0.012</f>
        <v/>
      </c>
      <c r="J182" s="9">
        <f>((62.98089987003441*D182)*0.34/(4198726.238129629+1))*52</f>
        <v/>
      </c>
      <c r="K182" s="8">
        <f>0.35*0.012</f>
        <v/>
      </c>
      <c r="L182" s="10">
        <f>J182/K182</f>
        <v/>
      </c>
    </row>
    <row r="183">
      <c r="A183" s="7" t="n">
        <v>179</v>
      </c>
      <c r="B183" s="6" t="n">
        <v>12526755.09776702</v>
      </c>
      <c r="C183" s="6" t="n">
        <v>3003629.671082384</v>
      </c>
      <c r="D183" s="8" t="n">
        <v>0.1018744685230352</v>
      </c>
      <c r="E183" s="9">
        <f>B183*D183</f>
        <v/>
      </c>
      <c r="F183" s="9">
        <f>C183*D183</f>
        <v/>
      </c>
      <c r="G183" s="6" t="n">
        <v>7364446.966468134</v>
      </c>
      <c r="H183" s="5" t="n">
        <v>72000512.99608439</v>
      </c>
      <c r="I183" s="9">
        <f>H183*38.36*0.012</f>
        <v/>
      </c>
      <c r="J183" s="9">
        <f>((57.36907160883726*D183)*0.34/(3824604.391462007+1))*52</f>
        <v/>
      </c>
      <c r="K183" s="8">
        <f>0.35*0.012</f>
        <v/>
      </c>
      <c r="L183" s="10">
        <f>J183/K183</f>
        <v/>
      </c>
    </row>
    <row r="184">
      <c r="A184" s="7" t="n">
        <v>180</v>
      </c>
      <c r="B184" s="6" t="n">
        <v>12534327.55640658</v>
      </c>
      <c r="C184" s="6" t="n">
        <v>3000315.079651395</v>
      </c>
      <c r="D184" s="8" t="n">
        <v>0.1016144722473654</v>
      </c>
      <c r="E184" s="9">
        <f>B184*D184</f>
        <v/>
      </c>
      <c r="F184" s="9">
        <f>C184*D184</f>
        <v/>
      </c>
      <c r="G184" s="6" t="n">
        <v>7371339.350614586</v>
      </c>
      <c r="H184" s="5" t="n">
        <v>72033543.10066012</v>
      </c>
      <c r="I184" s="9">
        <f>H184*38.36*0.012</f>
        <v/>
      </c>
      <c r="J184" s="9">
        <f>((52.29276660552837*D184)*0.34/(3486184.091750114+1))*52</f>
        <v/>
      </c>
      <c r="K184" s="8">
        <f>0.35*0.012</f>
        <v/>
      </c>
      <c r="L184" s="10">
        <f>J184/K184</f>
        <v/>
      </c>
    </row>
    <row r="185">
      <c r="A185" s="7" t="n">
        <v>181</v>
      </c>
      <c r="B185" s="6" t="n">
        <v>12531900.77612576</v>
      </c>
      <c r="C185" s="6" t="n">
        <v>3006982.928579589</v>
      </c>
      <c r="D185" s="8" t="n">
        <v>0.101350718241495</v>
      </c>
      <c r="E185" s="9">
        <f>B185*D185</f>
        <v/>
      </c>
      <c r="F185" s="9">
        <f>C185*D185</f>
        <v/>
      </c>
      <c r="G185" s="6" t="n">
        <v>7378213.647752545</v>
      </c>
      <c r="H185" s="5" t="n">
        <v>72065335.89278634</v>
      </c>
      <c r="I185" s="9">
        <f>H185*38.36*0.012</f>
        <v/>
      </c>
      <c r="J185" s="9">
        <f>((47.699345851085596*D185)*0.34/(3179956.072076734+1))*52</f>
        <v/>
      </c>
      <c r="K185" s="8">
        <f>0.35*0.012</f>
        <v/>
      </c>
      <c r="L185" s="10">
        <f>J185/K185</f>
        <v/>
      </c>
    </row>
    <row r="186">
      <c r="A186" s="7" t="n">
        <v>182</v>
      </c>
      <c r="B186" s="6" t="n">
        <v>12529474.7479046</v>
      </c>
      <c r="C186" s="6" t="n">
        <v>3013251.05798689</v>
      </c>
      <c r="D186" s="8" t="n">
        <v>0.1012767323662153</v>
      </c>
      <c r="E186" s="9">
        <f>B186*D186</f>
        <v/>
      </c>
      <c r="F186" s="9">
        <f>C186*D186</f>
        <v/>
      </c>
      <c r="G186" s="6" t="n">
        <v>7395220.897866894</v>
      </c>
      <c r="H186" s="5" t="n">
        <v>72095935.58675808</v>
      </c>
      <c r="I186" s="9">
        <f>H186*38.36*0.012</f>
        <v/>
      </c>
      <c r="J186" s="9">
        <f>((43.54140520661127*D186)*0.34/(2902760.0568313836+1))*52</f>
        <v/>
      </c>
      <c r="K186" s="8">
        <f>0.35*0.012</f>
        <v/>
      </c>
      <c r="L186" s="10">
        <f>J186/K186</f>
        <v/>
      </c>
    </row>
    <row r="187">
      <c r="A187" s="7" t="n">
        <v>183</v>
      </c>
      <c r="B187" s="6" t="n">
        <v>12532049.28247663</v>
      </c>
      <c r="C187" s="6" t="n">
        <v>3014335.603906772</v>
      </c>
      <c r="D187" s="8" t="n">
        <v>0.1013092276834352</v>
      </c>
      <c r="E187" s="9">
        <f>B187*D187</f>
        <v/>
      </c>
      <c r="F187" s="9">
        <f>C187*D187</f>
        <v/>
      </c>
      <c r="G187" s="6" t="n">
        <v>7418140.642641893</v>
      </c>
      <c r="H187" s="5" t="n">
        <v>72125384.97810993</v>
      </c>
      <c r="I187" s="9">
        <f>H187*38.36*0.012</f>
        <v/>
      </c>
      <c r="J187" s="9">
        <f>((39.776252571885905*D187)*0.34/(2651749.9062840436+1))*52</f>
        <v/>
      </c>
      <c r="K187" s="8">
        <f>0.35*0.012</f>
        <v/>
      </c>
      <c r="L187" s="10">
        <f>J187/K187</f>
        <v/>
      </c>
    </row>
    <row r="188">
      <c r="A188" s="7" t="n">
        <v>184</v>
      </c>
      <c r="B188" s="6" t="n">
        <v>12529624.45026457</v>
      </c>
      <c r="C188" s="6" t="n">
        <v>3019548.324836337</v>
      </c>
      <c r="D188" s="8" t="n">
        <v>0.1021292632761663</v>
      </c>
      <c r="E188" s="9">
        <f>B188*D188</f>
        <v/>
      </c>
      <c r="F188" s="9">
        <f>C188*D188</f>
        <v/>
      </c>
      <c r="G188" s="6" t="n">
        <v>7479519.67546121</v>
      </c>
      <c r="H188" s="5" t="n">
        <v>72153725.47675742</v>
      </c>
      <c r="I188" s="9">
        <f>H188*38.36*0.012</f>
        <v/>
      </c>
      <c r="J188" s="9">
        <f>((36.36543734432817*D188)*0.34/(2424362.2471856293+1))*52</f>
        <v/>
      </c>
      <c r="K188" s="8">
        <f>0.35*0.012</f>
        <v/>
      </c>
      <c r="L188" s="10">
        <f>J188/K188</f>
        <v/>
      </c>
    </row>
    <row r="189">
      <c r="A189" s="7" t="n">
        <v>185</v>
      </c>
      <c r="B189" s="6" t="n">
        <v>12527199.99258219</v>
      </c>
      <c r="C189" s="6" t="n">
        <v>3025560.556545746</v>
      </c>
      <c r="D189" s="8" t="n">
        <v>0.1024851000032478</v>
      </c>
      <c r="E189" s="9">
        <f>B189*D189</f>
        <v/>
      </c>
      <c r="F189" s="9">
        <f>C189*D189</f>
        <v/>
      </c>
      <c r="G189" s="6" t="n">
        <v>7516650.972347867</v>
      </c>
      <c r="H189" s="5" t="n">
        <v>72180997.14038242</v>
      </c>
      <c r="I189" s="9">
        <f>H189*38.36*0.012</f>
        <v/>
      </c>
      <c r="J189" s="9">
        <f>((33.27432693693865*D189)*0.34/(2218288.240633731+1))*52</f>
        <v/>
      </c>
      <c r="K189" s="8">
        <f>0.35*0.012</f>
        <v/>
      </c>
      <c r="L189" s="10">
        <f>J189/K189</f>
        <v/>
      </c>
    </row>
    <row r="190">
      <c r="A190" s="7" t="n">
        <v>186</v>
      </c>
      <c r="B190" s="6" t="n">
        <v>12524776.06943469</v>
      </c>
      <c r="C190" s="6" t="n">
        <v>3031517.007897735</v>
      </c>
      <c r="D190" s="8" t="n">
        <v>0.1027041317011579</v>
      </c>
      <c r="E190" s="9">
        <f>B190*D190</f>
        <v/>
      </c>
      <c r="F190" s="9">
        <f>C190*D190</f>
        <v/>
      </c>
      <c r="G190" s="6" t="n">
        <v>7548004.856831806</v>
      </c>
      <c r="H190" s="5" t="n">
        <v>72207238.70795406</v>
      </c>
      <c r="I190" s="9">
        <f>H190*38.36*0.012</f>
        <v/>
      </c>
      <c r="J190" s="9">
        <f>((30.471725647160802*D190)*0.34/(2031448.1733325494+1))*52</f>
        <v/>
      </c>
      <c r="K190" s="8">
        <f>0.35*0.012</f>
        <v/>
      </c>
      <c r="L190" s="10">
        <f>J190/K190</f>
        <v/>
      </c>
    </row>
    <row r="191">
      <c r="A191" s="7" t="n">
        <v>187</v>
      </c>
      <c r="B191" s="6" t="n">
        <v>12527352.61107672</v>
      </c>
      <c r="C191" s="6" t="n">
        <v>3032876.4020099</v>
      </c>
      <c r="D191" s="8" t="n">
        <v>0.1026415015397533</v>
      </c>
      <c r="E191" s="9">
        <f>B191*D191</f>
        <v/>
      </c>
      <c r="F191" s="9">
        <f>C191*D191</f>
        <v/>
      </c>
      <c r="G191" s="6" t="n">
        <v>7565146.883722318</v>
      </c>
      <c r="H191" s="5" t="n">
        <v>72232487.6332864</v>
      </c>
      <c r="I191" s="9">
        <f>H191*38.36*0.012</f>
        <v/>
      </c>
      <c r="J191" s="9">
        <f>((27.92953163958933*D191)*0.34/(1861968.5897757446+1))*52</f>
        <v/>
      </c>
      <c r="K191" s="8">
        <f>0.35*0.012</f>
        <v/>
      </c>
      <c r="L191" s="10">
        <f>J191/K191</f>
        <v/>
      </c>
    </row>
    <row r="192">
      <c r="A192" s="7" t="n">
        <v>188</v>
      </c>
      <c r="B192" s="6" t="n">
        <v>12529929.71540936</v>
      </c>
      <c r="C192" s="6" t="n">
        <v>3034415.764567251</v>
      </c>
      <c r="D192" s="8" t="n">
        <v>0.1025321835999581</v>
      </c>
      <c r="E192" s="9">
        <f>B192*D192</f>
        <v/>
      </c>
      <c r="F192" s="9">
        <f>C192*D192</f>
        <v/>
      </c>
      <c r="G192" s="6" t="n">
        <v>7580102.732160801</v>
      </c>
      <c r="H192" s="5" t="n">
        <v>72256780.11854327</v>
      </c>
      <c r="I192" s="9">
        <f>H192*38.36*0.012</f>
        <v/>
      </c>
      <c r="J192" s="9">
        <f>((25.622428229352536*D192)*0.34/(1708161.7111406478+1))*52</f>
        <v/>
      </c>
      <c r="K192" s="8">
        <f>0.35*0.012</f>
        <v/>
      </c>
      <c r="L192" s="10">
        <f>J192/K192</f>
        <v/>
      </c>
    </row>
    <row r="193">
      <c r="A193" s="7" t="n">
        <v>189</v>
      </c>
      <c r="B193" s="6" t="n">
        <v>12532507.39921791</v>
      </c>
      <c r="C193" s="6" t="n">
        <v>3036404.258579322</v>
      </c>
      <c r="D193" s="8" t="n">
        <v>0.1021678051320432</v>
      </c>
      <c r="E193" s="9">
        <f>B193*D193</f>
        <v/>
      </c>
      <c r="F193" s="9">
        <f>C193*D193</f>
        <v/>
      </c>
      <c r="G193" s="6" t="n">
        <v>7582947.058374261</v>
      </c>
      <c r="H193" s="5" t="n">
        <v>72280151.14760931</v>
      </c>
      <c r="I193" s="9">
        <f>H193*38.36*0.012</f>
        <v/>
      </c>
      <c r="J193" s="9">
        <f>((23.527606034480243*D193)*0.34/(1568506.9121146428+1))*52</f>
        <v/>
      </c>
      <c r="K193" s="8">
        <f>0.35*0.012</f>
        <v/>
      </c>
      <c r="L193" s="10">
        <f>J193/K193</f>
        <v/>
      </c>
    </row>
    <row r="194">
      <c r="A194" s="7" t="n">
        <v>190</v>
      </c>
      <c r="B194" s="6" t="n">
        <v>12565085.08007461</v>
      </c>
      <c r="C194" s="6" t="n">
        <v>3008185.662960027</v>
      </c>
      <c r="D194" s="8" t="n">
        <v>0.101963319850292</v>
      </c>
      <c r="E194" s="9">
        <f>B194*D194</f>
        <v/>
      </c>
      <c r="F194" s="9">
        <f>C194*D194</f>
        <v/>
      </c>
      <c r="G194" s="6" t="n">
        <v>7593203.972655136</v>
      </c>
      <c r="H194" s="5" t="n">
        <v>72302634.51925471</v>
      </c>
      <c r="I194" s="9">
        <f>H194*38.36*0.012</f>
        <v/>
      </c>
      <c r="J194" s="9">
        <f>((21.62451290890723*D194)*0.34/(1441634.0497637296+1))*52</f>
        <v/>
      </c>
      <c r="K194" s="8">
        <f>0.35*0.012</f>
        <v/>
      </c>
      <c r="L194" s="10">
        <f>J194/K194</f>
        <v/>
      </c>
    </row>
    <row r="195">
      <c r="A195" s="7" t="n">
        <v>191</v>
      </c>
      <c r="B195" s="6" t="n">
        <v>12622662.12006643</v>
      </c>
      <c r="C195" s="6" t="n">
        <v>2953829.922551489</v>
      </c>
      <c r="D195" s="8" t="n">
        <v>0.1016773616700957</v>
      </c>
      <c r="E195" s="9">
        <f>B195*D195</f>
        <v/>
      </c>
      <c r="F195" s="9">
        <f>C195*D195</f>
        <v/>
      </c>
      <c r="G195" s="6" t="n">
        <v>7599409.164265286</v>
      </c>
      <c r="H195" s="5" t="n">
        <v>72324262.88002801</v>
      </c>
      <c r="I195" s="9">
        <f>H195*38.36*0.012</f>
        <v/>
      </c>
      <c r="J195" s="9">
        <f>((19.894628876739066*D195)*0.34/(1326308.4591517453+1))*52</f>
        <v/>
      </c>
      <c r="K195" s="8">
        <f>0.35*0.012</f>
        <v/>
      </c>
      <c r="L195" s="10">
        <f>J195/K195</f>
        <v/>
      </c>
    </row>
    <row r="196">
      <c r="A196" s="7" t="n">
        <v>192</v>
      </c>
      <c r="B196" s="6" t="n">
        <v>12700238.12963234</v>
      </c>
      <c r="C196" s="6" t="n">
        <v>2880309.760022881</v>
      </c>
      <c r="D196" s="8" t="n">
        <v>0.1014029091434957</v>
      </c>
      <c r="E196" s="9">
        <f>B196*D196</f>
        <v/>
      </c>
      <c r="F196" s="9">
        <f>C196*D196</f>
        <v/>
      </c>
      <c r="G196" s="6" t="n">
        <v>7605925.180585759</v>
      </c>
      <c r="H196" s="5" t="n">
        <v>72345067.75681859</v>
      </c>
      <c r="I196" s="9">
        <f>H196*38.36*0.012</f>
        <v/>
      </c>
      <c r="J196" s="9">
        <f>((18.32126356648658*D196)*0.34/(1221417.4489573482+1))*52</f>
        <v/>
      </c>
      <c r="K196" s="8">
        <f>0.35*0.012</f>
        <v/>
      </c>
      <c r="L196" s="10">
        <f>J196/K196</f>
        <v/>
      </c>
    </row>
    <row r="197">
      <c r="A197" s="7" t="n">
        <v>193</v>
      </c>
      <c r="B197" s="6" t="n">
        <v>12782813.01977647</v>
      </c>
      <c r="C197" s="6" t="n">
        <v>2802334.553527744</v>
      </c>
      <c r="D197" s="8" t="n">
        <v>0.1013094566474471</v>
      </c>
      <c r="E197" s="9">
        <f>B197*D197</f>
        <v/>
      </c>
      <c r="F197" s="9">
        <f>C197*D197</f>
        <v/>
      </c>
      <c r="G197" s="6" t="n">
        <v>7621330.134481322</v>
      </c>
      <c r="H197" s="5" t="n">
        <v>72365079.58903769</v>
      </c>
      <c r="I197" s="9">
        <f>H197*38.36*0.012</f>
        <v/>
      </c>
      <c r="J197" s="9">
        <f>((16.889373894243395*D197)*0.34/(1125958.1470204005+1))*52</f>
        <v/>
      </c>
      <c r="K197" s="8">
        <f>0.35*0.012</f>
        <v/>
      </c>
      <c r="L197" s="10">
        <f>J197/K197</f>
        <v/>
      </c>
    </row>
    <row r="198">
      <c r="A198" s="7" t="n">
        <v>194</v>
      </c>
      <c r="B198" s="6" t="n">
        <v>12880386.3981966</v>
      </c>
      <c r="C198" s="6" t="n">
        <v>2709173.575600347</v>
      </c>
      <c r="D198" s="8" t="n">
        <v>0.1012945515521544</v>
      </c>
      <c r="E198" s="9">
        <f>B198*D198</f>
        <v/>
      </c>
      <c r="F198" s="9">
        <f>C198*D198</f>
        <v/>
      </c>
      <c r="G198" s="6" t="n">
        <v>7640995.572020591</v>
      </c>
      <c r="H198" s="5" t="n">
        <v>72384327.76037154</v>
      </c>
      <c r="I198" s="9">
        <f>H198*38.36*0.012</f>
        <v/>
      </c>
      <c r="J198" s="9">
        <f>((15.585399969992316*D198)*0.34/(1039026.560763488+1))*52</f>
        <v/>
      </c>
      <c r="K198" s="8">
        <f>0.35*0.012</f>
        <v/>
      </c>
      <c r="L198" s="10">
        <f>J198/K198</f>
        <v/>
      </c>
    </row>
    <row r="199">
      <c r="A199" s="7" t="n">
        <v>195</v>
      </c>
      <c r="B199" s="6" t="n">
        <v>12952958.75693855</v>
      </c>
      <c r="C199" s="6" t="n">
        <v>2639836.584272795</v>
      </c>
      <c r="D199" s="8" t="n">
        <v>0.1014605896845789</v>
      </c>
      <c r="E199" s="9">
        <f>B199*D199</f>
        <v/>
      </c>
      <c r="F199" s="9">
        <f>C199*D199</f>
        <v/>
      </c>
      <c r="G199" s="6" t="n">
        <v>7667910.114670989</v>
      </c>
      <c r="H199" s="5" t="n">
        <v>72402840.63006672</v>
      </c>
      <c r="I199" s="9">
        <f>H199*38.36*0.012</f>
        <v/>
      </c>
      <c r="J199" s="9">
        <f>((14.397117403922636*D199)*0.34/(959807.7309473931+1))*52</f>
        <v/>
      </c>
      <c r="K199" s="8">
        <f>0.35*0.012</f>
        <v/>
      </c>
      <c r="L199" s="10">
        <f>J199/K199</f>
        <v/>
      </c>
    </row>
    <row r="200">
      <c r="A200" s="7" t="n">
        <v>196</v>
      </c>
      <c r="B200" s="6" t="n">
        <v>12965531.37657638</v>
      </c>
      <c r="C200" s="6" t="n">
        <v>2630693.170881204</v>
      </c>
      <c r="D200" s="8" t="n">
        <v>0.101715126846665</v>
      </c>
      <c r="E200" s="9">
        <f>B200*D200</f>
        <v/>
      </c>
      <c r="F200" s="9">
        <f>C200*D200</f>
        <v/>
      </c>
      <c r="G200" s="6" t="n">
        <v>7701123.467995901</v>
      </c>
      <c r="H200" s="5" t="n">
        <v>72420645.56371313</v>
      </c>
      <c r="I200" s="9">
        <f>H200*38.36*0.012</f>
        <v/>
      </c>
      <c r="J200" s="9">
        <f>((13.313504372068383*D200)*0.34/(887566.8693811964+1))*52</f>
        <v/>
      </c>
      <c r="K200" s="8">
        <f>0.35*0.012</f>
        <v/>
      </c>
      <c r="L200" s="10">
        <f>J200/K200</f>
        <v/>
      </c>
    </row>
    <row r="201">
      <c r="A201" s="7" t="n">
        <v>197</v>
      </c>
      <c r="B201" s="6" t="n">
        <v>12973104.33567306</v>
      </c>
      <c r="C201" s="6" t="n">
        <v>2626981.202522106</v>
      </c>
      <c r="D201" s="8" t="n">
        <v>0.1019895225432546</v>
      </c>
      <c r="E201" s="9">
        <f>B201*D201</f>
        <v/>
      </c>
      <c r="F201" s="9">
        <f>C201*D201</f>
        <v/>
      </c>
      <c r="G201" s="6" t="n">
        <v>7734472.009517833</v>
      </c>
      <c r="H201" s="5" t="n">
        <v>72437768.96349366</v>
      </c>
      <c r="I201" s="9">
        <f>H201*38.36*0.012</f>
        <v/>
      </c>
      <c r="J201" s="9">
        <f>((12.324621964718958*D201)*0.34/(821641.3821504508+1))*52</f>
        <v/>
      </c>
      <c r="K201" s="8">
        <f>0.35*0.012</f>
        <v/>
      </c>
      <c r="L201" s="10">
        <f>J201/K201</f>
        <v/>
      </c>
    </row>
    <row r="202">
      <c r="A202" s="7" t="n">
        <v>198</v>
      </c>
      <c r="B202" s="6" t="n">
        <v>12985677.52831288</v>
      </c>
      <c r="C202" s="6" t="n">
        <v>2618666.003030514</v>
      </c>
      <c r="D202" s="8" t="n">
        <v>0.1020035861743626</v>
      </c>
      <c r="E202" s="9">
        <f>B202*D202</f>
        <v/>
      </c>
      <c r="F202" s="9">
        <f>C202*D202</f>
        <v/>
      </c>
      <c r="G202" s="6" t="n">
        <v>7756625.829136017</v>
      </c>
      <c r="H202" s="5" t="n">
        <v>72454236.29787554</v>
      </c>
      <c r="I202" s="9">
        <f>H202*38.36*0.012</f>
        <v/>
      </c>
      <c r="J202" s="9">
        <f>((11.421506488819302*D202)*0.34/(761433.6897779102+1))*52</f>
        <v/>
      </c>
      <c r="K202" s="8">
        <f>0.35*0.012</f>
        <v/>
      </c>
      <c r="L202" s="10">
        <f>J202/K202</f>
        <v/>
      </c>
    </row>
    <row r="203">
      <c r="A203" s="7" t="n">
        <v>199</v>
      </c>
      <c r="B203" s="6" t="n">
        <v>12993251.13391652</v>
      </c>
      <c r="C203" s="6" t="n">
        <v>2615325.080438435</v>
      </c>
      <c r="D203" s="8" t="n">
        <v>0.1019303940831928</v>
      </c>
      <c r="E203" s="9">
        <f>B203*D203</f>
        <v/>
      </c>
      <c r="F203" s="9">
        <f>C203*D203</f>
        <v/>
      </c>
      <c r="G203" s="6" t="n">
        <v>7772642.254194101</v>
      </c>
      <c r="H203" s="5" t="n">
        <v>72470072.13072136</v>
      </c>
      <c r="I203" s="9">
        <f>H203*38.36*0.012</f>
        <v/>
      </c>
      <c r="J203" s="9">
        <f>((10.596072528525479*D203)*0.34/(706404.7645945485+1))*52</f>
        <v/>
      </c>
      <c r="K203" s="8">
        <f>0.35*0.012</f>
        <v/>
      </c>
      <c r="L203" s="10">
        <f>J203/K203</f>
        <v/>
      </c>
    </row>
    <row r="204">
      <c r="A204" s="7" t="n">
        <v>200</v>
      </c>
      <c r="B204" s="6" t="n">
        <v>12990825.40507091</v>
      </c>
      <c r="C204" s="6" t="n">
        <v>2621839.550084027</v>
      </c>
      <c r="D204" s="8" t="n">
        <v>0.1017400964106013</v>
      </c>
      <c r="E204" s="9">
        <f>B204*D204</f>
        <v/>
      </c>
      <c r="F204" s="9">
        <f>C204*D204</f>
        <v/>
      </c>
      <c r="G204" s="6" t="n">
        <v>7783623.448828481</v>
      </c>
      <c r="H204" s="5" t="n">
        <v>72485300.14980136</v>
      </c>
      <c r="I204" s="9">
        <f>H204*38.36*0.012</f>
        <v/>
      </c>
      <c r="J204" s="9">
        <f>((9.84102568772886*D204)*0.34/(656068.3135750862+1))*52</f>
        <v/>
      </c>
      <c r="K204" s="8">
        <f>0.35*0.012</f>
        <v/>
      </c>
      <c r="L204" s="10">
        <f>J204/K204</f>
        <v/>
      </c>
    </row>
    <row r="205">
      <c r="A205" s="7" t="n">
        <v>201</v>
      </c>
      <c r="B205" s="6" t="n">
        <v>12988400.38469282</v>
      </c>
      <c r="C205" s="6" t="n">
        <v>2628930.151517266</v>
      </c>
      <c r="D205" s="8" t="n">
        <v>0.1013827792757434</v>
      </c>
      <c r="E205" s="9">
        <f>B205*D205</f>
        <v/>
      </c>
      <c r="F205" s="9">
        <f>C205*D205</f>
        <v/>
      </c>
      <c r="G205" s="6" t="n">
        <v>7788125.71878278</v>
      </c>
      <c r="H205" s="5" t="n">
        <v>72499943.19469304</v>
      </c>
      <c r="I205" s="9">
        <f>H205*38.36*0.012</f>
        <v/>
      </c>
      <c r="J205" s="9">
        <f>((9.149784046075773*D205)*0.34/(609985.542073158+1))*52</f>
        <v/>
      </c>
      <c r="K205" s="8">
        <f>0.35*0.012</f>
        <v/>
      </c>
      <c r="L205" s="10">
        <f>J205/K205</f>
        <v/>
      </c>
    </row>
    <row r="206">
      <c r="A206" s="7" t="n">
        <v>202</v>
      </c>
      <c r="B206" s="6" t="n">
        <v>12985976.07957034</v>
      </c>
      <c r="C206" s="6" t="n">
        <v>2634692.399436815</v>
      </c>
      <c r="D206" s="8" t="n">
        <v>0.1012731943267918</v>
      </c>
      <c r="E206" s="9">
        <f>B206*D206</f>
        <v/>
      </c>
      <c r="F206" s="9">
        <f>C206*D206</f>
        <v/>
      </c>
      <c r="G206" s="6" t="n">
        <v>7802259.111144712</v>
      </c>
      <c r="H206" s="5" t="n">
        <v>72514023.2840561</v>
      </c>
      <c r="I206" s="9">
        <f>H206*38.36*0.012</f>
        <v/>
      </c>
      <c r="J206" s="9">
        <f>((8.51640745688967*D206)*0.34/(567760.4403499283+1))*52</f>
        <v/>
      </c>
      <c r="K206" s="8">
        <f>0.35*0.012</f>
        <v/>
      </c>
      <c r="L206" s="10">
        <f>J206/K206</f>
        <v/>
      </c>
    </row>
    <row r="207">
      <c r="A207" s="7" t="n">
        <v>203</v>
      </c>
      <c r="B207" s="6" t="n">
        <v>12983552.45787852</v>
      </c>
      <c r="C207" s="6" t="n">
        <v>2641608.601820628</v>
      </c>
      <c r="D207" s="8" t="n">
        <v>0.1012457537430795</v>
      </c>
      <c r="E207" s="9">
        <f>B207*D207</f>
        <v/>
      </c>
      <c r="F207" s="9">
        <f>C207*D207</f>
        <v/>
      </c>
      <c r="G207" s="6" t="n">
        <v>7821680.852135453</v>
      </c>
      <c r="H207" s="5" t="n">
        <v>72527561.64227422</v>
      </c>
      <c r="I207" s="9">
        <f>H207*38.36*0.012</f>
        <v/>
      </c>
      <c r="J207" s="9">
        <f>((7.935533902639719*D207)*0.34/(529035.5406057553+1))*52</f>
        <v/>
      </c>
      <c r="K207" s="8">
        <f>0.35*0.012</f>
        <v/>
      </c>
      <c r="L207" s="10">
        <f>J207/K207</f>
        <v/>
      </c>
    </row>
    <row r="208">
      <c r="A208" s="7" t="n">
        <v>204</v>
      </c>
      <c r="B208" s="6" t="n">
        <v>12981129.47838314</v>
      </c>
      <c r="C208" s="6" t="n">
        <v>2648244.534583183</v>
      </c>
      <c r="D208" s="8" t="n">
        <v>0.1013733875282891</v>
      </c>
      <c r="E208" s="9">
        <f>B208*D208</f>
        <v/>
      </c>
      <c r="F208" s="9">
        <f>C208*D208</f>
        <v/>
      </c>
      <c r="G208" s="6" t="n">
        <v>7847466.771116989</v>
      </c>
      <c r="H208" s="5" t="n">
        <v>72540578.72545741</v>
      </c>
      <c r="I208" s="9">
        <f>H208*38.36*0.012</f>
        <v/>
      </c>
      <c r="J208" s="9">
        <f>((7.4023222020737505*D208)*0.34/(493488.0974561021+1))*52</f>
        <v/>
      </c>
      <c r="K208" s="8">
        <f>0.35*0.012</f>
        <v/>
      </c>
      <c r="L208" s="10">
        <f>J208/K208</f>
        <v/>
      </c>
    </row>
    <row r="209">
      <c r="A209" s="7" t="n">
        <v>205</v>
      </c>
      <c r="B209" s="6" t="n">
        <v>12983706.98552564</v>
      </c>
      <c r="C209" s="6" t="n">
        <v>2649480.899547166</v>
      </c>
      <c r="D209" s="8" t="n">
        <v>0.1017133820569959</v>
      </c>
      <c r="E209" s="9">
        <f>B209*D209</f>
        <v/>
      </c>
      <c r="F209" s="9">
        <f>C209*D209</f>
        <v/>
      </c>
      <c r="G209" s="6" t="n">
        <v>7884916.638098167</v>
      </c>
      <c r="H209" s="5" t="n">
        <v>72553094.24680148</v>
      </c>
      <c r="I209" s="9">
        <f>H209*38.36*0.012</f>
        <v/>
      </c>
      <c r="J209" s="9">
        <f>((6.912400433778734*D209)*0.34/(460826.6495025794+1))*52</f>
        <v/>
      </c>
      <c r="K209" s="8">
        <f>0.35*0.012</f>
        <v/>
      </c>
      <c r="L209" s="10">
        <f>J209/K209</f>
        <v/>
      </c>
    </row>
    <row r="210">
      <c r="A210" s="7" t="n">
        <v>206</v>
      </c>
      <c r="B210" s="6" t="n">
        <v>13001284.58629541</v>
      </c>
      <c r="C210" s="6" t="n">
        <v>2635891.135805405</v>
      </c>
      <c r="D210" s="8" t="n">
        <v>0.1019828902862064</v>
      </c>
      <c r="E210" s="9">
        <f>B210*D210</f>
        <v/>
      </c>
      <c r="F210" s="9">
        <f>C210*D210</f>
        <v/>
      </c>
      <c r="G210" s="6" t="n">
        <v>7918815.66539727</v>
      </c>
      <c r="H210" s="5" t="n">
        <v>72565127.20130251</v>
      </c>
      <c r="I210" s="9">
        <f>H210*38.36*0.012</f>
        <v/>
      </c>
      <c r="J210" s="9">
        <f>((6.461819504487578*D210)*0.34/(430787.92388704186+1))*52</f>
        <v/>
      </c>
      <c r="K210" s="8">
        <f>0.35*0.012</f>
        <v/>
      </c>
      <c r="L210" s="10">
        <f>J210/K210</f>
        <v/>
      </c>
    </row>
    <row r="211">
      <c r="A211" s="7" t="n">
        <v>207</v>
      </c>
      <c r="B211" s="6" t="n">
        <v>13033861.98580695</v>
      </c>
      <c r="C211" s="6" t="n">
        <v>2607502.870355502</v>
      </c>
      <c r="D211" s="8" t="n">
        <v>0.1020691022365937</v>
      </c>
      <c r="E211" s="9">
        <f>B211*D211</f>
        <v/>
      </c>
      <c r="F211" s="9">
        <f>C211*D211</f>
        <v/>
      </c>
      <c r="G211" s="6" t="n">
        <v>7944001.859705137</v>
      </c>
      <c r="H211" s="5" t="n">
        <v>72576695.88982704</v>
      </c>
      <c r="I211" s="9">
        <f>H211*38.36*0.012</f>
        <v/>
      </c>
      <c r="J211" s="9">
        <f>((6.0470113476667855*D211)*0.34/(403134.04953104345+1))*52</f>
        <v/>
      </c>
      <c r="K211" s="8">
        <f>0.35*0.012</f>
        <v/>
      </c>
      <c r="L211" s="10">
        <f>J211/K211</f>
        <v/>
      </c>
    </row>
    <row r="212">
      <c r="A212" s="7" t="n">
        <v>208</v>
      </c>
      <c r="B212" s="6" t="n">
        <v>13061439.35159172</v>
      </c>
      <c r="C212" s="6" t="n">
        <v>2584528.157858513</v>
      </c>
      <c r="D212" s="8" t="n">
        <v>0.1019604722075118</v>
      </c>
      <c r="E212" s="9">
        <f>B212*D212</f>
        <v/>
      </c>
      <c r="F212" s="9">
        <f>C212*D212</f>
        <v/>
      </c>
      <c r="G212" s="6" t="n">
        <v>7958851.226140202</v>
      </c>
      <c r="H212" s="5" t="n">
        <v>72587817.94253953</v>
      </c>
      <c r="I212" s="9">
        <f>H212*38.36*0.012</f>
        <v/>
      </c>
      <c r="J212" s="9">
        <f>((5.66475128939377*D212)*0.34/(377650.0481945761+1))*52</f>
        <v/>
      </c>
      <c r="K212" s="8">
        <f>0.35*0.012</f>
        <v/>
      </c>
      <c r="L212" s="10">
        <f>J212/K212</f>
        <v/>
      </c>
    </row>
    <row r="213">
      <c r="A213" s="7" t="n">
        <v>209</v>
      </c>
      <c r="B213" s="6" t="n">
        <v>13099016.52732244</v>
      </c>
      <c r="C213" s="6" t="n">
        <v>2551289.932790109</v>
      </c>
      <c r="D213" s="8" t="n">
        <v>0.1017755159138897</v>
      </c>
      <c r="E213" s="9">
        <f>B213*D213</f>
        <v/>
      </c>
      <c r="F213" s="9">
        <f>C213*D213</f>
        <v/>
      </c>
      <c r="G213" s="6" t="n">
        <v>7970033.788390863</v>
      </c>
      <c r="H213" s="5" t="n">
        <v>72598510.34169087</v>
      </c>
      <c r="I213" s="9">
        <f>H213*38.36*0.012</f>
        <v/>
      </c>
      <c r="J213" s="9">
        <f>((5.3121241648661455*D213)*0.34/(354141.5755769153+1))*52</f>
        <v/>
      </c>
      <c r="K213" s="8">
        <f>0.35*0.012</f>
        <v/>
      </c>
      <c r="L213" s="10">
        <f>J213/K213</f>
        <v/>
      </c>
    </row>
    <row r="214">
      <c r="A214" s="7" t="n">
        <v>210</v>
      </c>
      <c r="B214" s="6" t="n">
        <v>13191592.3624122</v>
      </c>
      <c r="C214" s="6" t="n">
        <v>2462950.056362642</v>
      </c>
      <c r="D214" s="8" t="n">
        <v>0.1015019224503973</v>
      </c>
      <c r="E214" s="9">
        <f>B214*D214</f>
        <v/>
      </c>
      <c r="F214" s="9">
        <f>C214*D214</f>
        <v/>
      </c>
      <c r="G214" s="6" t="n">
        <v>7975646.843608073</v>
      </c>
      <c r="H214" s="5" t="n">
        <v>72608789.44377267</v>
      </c>
      <c r="I214" s="9">
        <f>H214*38.36*0.012</f>
        <v/>
      </c>
      <c r="J214" s="9">
        <f>((4.986493810573697*D214)*0.34/(332432.88746162114+1))*52</f>
        <v/>
      </c>
      <c r="K214" s="8">
        <f>0.35*0.012</f>
        <v/>
      </c>
      <c r="L214" s="10">
        <f>J214/K214</f>
        <v/>
      </c>
    </row>
    <row r="215">
      <c r="A215" s="7" t="n">
        <v>211</v>
      </c>
      <c r="B215" s="6" t="n">
        <v>13294166.67767193</v>
      </c>
      <c r="C215" s="6" t="n">
        <v>2364482.852396296</v>
      </c>
      <c r="D215" s="8" t="n">
        <v>0.1011795471055011</v>
      </c>
      <c r="E215" s="9">
        <f>B215*D215</f>
        <v/>
      </c>
      <c r="F215" s="9">
        <f>C215*D215</f>
        <v/>
      </c>
      <c r="G215" s="6" t="n">
        <v>7979697.221655875</v>
      </c>
      <c r="H215" s="5" t="n">
        <v>72618671.00104351</v>
      </c>
      <c r="I215" s="9">
        <f>H215*38.36*0.012</f>
        <v/>
      </c>
      <c r="J215" s="9">
        <f>((4.68547559469639*D215)*0.34/(312365.00840992207+1))*52</f>
        <v/>
      </c>
      <c r="K215" s="8">
        <f>0.35*0.012</f>
        <v/>
      </c>
      <c r="L215" s="10">
        <f>J215/K215</f>
        <v/>
      </c>
    </row>
    <row r="216">
      <c r="A216" s="7" t="n">
        <v>212</v>
      </c>
      <c r="B216" s="6" t="n">
        <v>13401739.38163004</v>
      </c>
      <c r="C216" s="6" t="n">
        <v>2261032.935790257</v>
      </c>
      <c r="D216" s="8" t="n">
        <v>0.1010162134085944</v>
      </c>
      <c r="E216" s="9">
        <f>B216*D216</f>
        <v/>
      </c>
      <c r="F216" s="9">
        <f>C216*D216</f>
        <v/>
      </c>
      <c r="G216" s="6" t="n">
        <v>7991035.652018113</v>
      </c>
      <c r="H216" s="5" t="n">
        <v>72628170.18243414</v>
      </c>
      <c r="I216" s="9">
        <f>H216*38.36*0.012</f>
        <v/>
      </c>
      <c r="J216" s="9">
        <f>((4.406911682037681*D216)*0.34/(293794.08275643416+1))*52</f>
        <v/>
      </c>
      <c r="K216" s="8">
        <f>0.35*0.012</f>
        <v/>
      </c>
      <c r="L216" s="10">
        <f>J216/K216</f>
        <v/>
      </c>
    </row>
    <row r="217">
      <c r="A217" s="7" t="n">
        <v>213</v>
      </c>
      <c r="B217" s="6" t="n">
        <v>13439311.93186626</v>
      </c>
      <c r="C217" s="6" t="n">
        <v>2228070.233631787</v>
      </c>
      <c r="D217" s="8" t="n">
        <v>0.1010096865032451</v>
      </c>
      <c r="E217" s="9">
        <f>B217*D217</f>
        <v/>
      </c>
      <c r="F217" s="9">
        <f>C217*D217</f>
        <v/>
      </c>
      <c r="G217" s="6" t="n">
        <v>8010697.013616914</v>
      </c>
      <c r="H217" s="5" t="n">
        <v>72637301.59384003</v>
      </c>
      <c r="I217" s="9">
        <f>H217*38.36*0.012</f>
        <v/>
      </c>
      <c r="J217" s="9">
        <f>((4.1488487602144115*D217)*0.34/(276589.8896886357+1))*52</f>
        <v/>
      </c>
      <c r="K217" s="8">
        <f>0.35*0.012</f>
        <v/>
      </c>
      <c r="L217" s="10">
        <f>J217/K217</f>
        <v/>
      </c>
    </row>
    <row r="218">
      <c r="A218" s="7" t="n">
        <v>214</v>
      </c>
      <c r="B218" s="6" t="n">
        <v>13441885.02097359</v>
      </c>
      <c r="C218" s="6" t="n">
        <v>2230124.821013022</v>
      </c>
      <c r="D218" s="8" t="n">
        <v>0.1011439433308799</v>
      </c>
      <c r="E218" s="9">
        <f>B218*D218</f>
        <v/>
      </c>
      <c r="F218" s="9">
        <f>C218*D218</f>
        <v/>
      </c>
      <c r="G218" s="6" t="n">
        <v>8038881.409361208</v>
      </c>
      <c r="H218" s="5" t="n">
        <v>72646079.29780976</v>
      </c>
      <c r="I218" s="9">
        <f>H218*38.36*0.012</f>
        <v/>
      </c>
      <c r="J218" s="9">
        <f>((3.9095179811430185*D218)*0.34/(260634.50601274805+1))*52</f>
        <v/>
      </c>
      <c r="K218" s="8">
        <f>0.35*0.012</f>
        <v/>
      </c>
      <c r="L218" s="10">
        <f>J218/K218</f>
        <v/>
      </c>
    </row>
    <row r="219">
      <c r="A219" s="7" t="n">
        <v>215</v>
      </c>
      <c r="B219" s="6" t="n">
        <v>13444458.56613572</v>
      </c>
      <c r="C219" s="6" t="n">
        <v>2231267.020624018</v>
      </c>
      <c r="D219" s="8" t="n">
        <v>0.1013067550147908</v>
      </c>
      <c r="E219" s="9">
        <f>B219*D219</f>
        <v/>
      </c>
      <c r="F219" s="9">
        <f>C219*D219</f>
        <v/>
      </c>
      <c r="G219" s="6" t="n">
        <v>8066881.874684512</v>
      </c>
      <c r="H219" s="5" t="n">
        <v>72654516.83263956</v>
      </c>
      <c r="I219" s="9">
        <f>H219*38.36*0.012</f>
        <v/>
      </c>
      <c r="J219" s="9">
        <f>((3.6873168964998446*D219)*0.34/(245821.10185121035+1))*52</f>
        <v/>
      </c>
      <c r="K219" s="8">
        <f>0.35*0.012</f>
        <v/>
      </c>
      <c r="L219" s="10">
        <f>J219/K219</f>
        <v/>
      </c>
    </row>
    <row r="220">
      <c r="A220" s="7" t="n">
        <v>216</v>
      </c>
      <c r="B220" s="6" t="n">
        <v>13442032.65294184</v>
      </c>
      <c r="C220" s="6" t="n">
        <v>2236653.865534963</v>
      </c>
      <c r="D220" s="8" t="n">
        <v>0.1014919426149613</v>
      </c>
      <c r="E220" s="9">
        <f>B220*D220</f>
        <v/>
      </c>
      <c r="F220" s="9">
        <f>C220*D220</f>
        <v/>
      </c>
      <c r="G220" s="6" t="n">
        <v>8096680.483098256</v>
      </c>
      <c r="H220" s="5" t="n">
        <v>72662627.23088366</v>
      </c>
      <c r="I220" s="9">
        <f>H220*38.36*0.012</f>
        <v/>
      </c>
      <c r="J220" s="9">
        <f>((3.4807931879526146*D220)*0.34/(232052.85599155308+1))*52</f>
        <v/>
      </c>
      <c r="K220" s="8">
        <f>0.35*0.012</f>
        <v/>
      </c>
      <c r="L220" s="10">
        <f>J220/K220</f>
        <v/>
      </c>
    </row>
    <row r="221">
      <c r="A221" s="7" t="n">
        <v>217</v>
      </c>
      <c r="B221" s="6" t="n">
        <v>13449607.08793663</v>
      </c>
      <c r="C221" s="6" t="n">
        <v>2233459.853407823</v>
      </c>
      <c r="D221" s="8" t="n">
        <v>0.1013943454649949</v>
      </c>
      <c r="E221" s="9">
        <f>B221*D221</f>
        <v/>
      </c>
      <c r="F221" s="9">
        <f>C221*D221</f>
        <v/>
      </c>
      <c r="G221" s="6" t="n">
        <v>8111927.905455581</v>
      </c>
      <c r="H221" s="5" t="n">
        <v>72670423.0372915</v>
      </c>
      <c r="I221" s="9">
        <f>H221*38.36*0.012</f>
        <v/>
      </c>
      <c r="J221" s="9">
        <f>((3.2886300129056742*D221)*0.34/(219241.97893617823+1))*52</f>
        <v/>
      </c>
      <c r="K221" s="8">
        <f>0.35*0.012</f>
        <v/>
      </c>
      <c r="L221" s="10">
        <f>J221/K221</f>
        <v/>
      </c>
    </row>
    <row r="222">
      <c r="A222" s="7" t="n">
        <v>218</v>
      </c>
      <c r="B222" s="6" t="n">
        <v>13447182.17287325</v>
      </c>
      <c r="C222" s="6" t="n">
        <v>2240296.822353659</v>
      </c>
      <c r="D222" s="8" t="n">
        <v>0.1011415566544825</v>
      </c>
      <c r="E222" s="9">
        <f>B222*D222</f>
        <v/>
      </c>
      <c r="F222" s="9">
        <f>C222*D222</f>
        <v/>
      </c>
      <c r="G222" s="6" t="n">
        <v>8118450.514182627</v>
      </c>
      <c r="H222" s="5" t="n">
        <v>72677916.32618317</v>
      </c>
      <c r="I222" s="9">
        <f>H222*38.36*0.012</f>
        <v/>
      </c>
      <c r="J222" s="9">
        <f>((3.1096328044351482*D222)*0.34/(207308.83289812453+1))*52</f>
        <v/>
      </c>
      <c r="K222" s="8">
        <f>0.35*0.012</f>
        <v/>
      </c>
      <c r="L222" s="10">
        <f>J222/K222</f>
        <v/>
      </c>
    </row>
    <row r="223">
      <c r="A223" s="7" t="n">
        <v>219</v>
      </c>
      <c r="B223" s="6" t="n">
        <v>13444757.95742772</v>
      </c>
      <c r="C223" s="6" t="n">
        <v>2246877.976140429</v>
      </c>
      <c r="D223" s="8" t="n">
        <v>0.1010794852461104</v>
      </c>
      <c r="E223" s="9">
        <f>B223*D223</f>
        <v/>
      </c>
      <c r="F223" s="9">
        <f>C223*D223</f>
        <v/>
      </c>
      <c r="G223" s="6" t="n">
        <v>8134725.290072386</v>
      </c>
      <c r="H223" s="5" t="n">
        <v>72685118.71827459</v>
      </c>
      <c r="I223" s="9">
        <f>H223*38.36*0.012</f>
        <v/>
      </c>
      <c r="J223" s="9">
        <f>((2.94271738022481*D223)*0.34/(196181.13906353814+1))*52</f>
        <v/>
      </c>
      <c r="K223" s="8">
        <f>0.35*0.012</f>
        <v/>
      </c>
      <c r="L223" s="10">
        <f>J223/K223</f>
        <v/>
      </c>
    </row>
    <row r="224">
      <c r="A224" s="7" t="n">
        <v>220</v>
      </c>
      <c r="B224" s="6" t="n">
        <v>13442334.37407961</v>
      </c>
      <c r="C224" s="6" t="n">
        <v>2253268.603824663</v>
      </c>
      <c r="D224" s="8" t="n">
        <v>0.1011561936048031</v>
      </c>
      <c r="E224" s="9">
        <f>B224*D224</f>
        <v/>
      </c>
      <c r="F224" s="9">
        <f>C224*D224</f>
        <v/>
      </c>
      <c r="G224" s="6" t="n">
        <v>8158775.154772563</v>
      </c>
      <c r="H224" s="5" t="n">
        <v>72692041.39696415</v>
      </c>
      <c r="I224" s="9">
        <f>H224*38.36*0.012</f>
        <v/>
      </c>
      <c r="J224" s="9">
        <f>((2.786899229838849*D224)*0.34/(185793.26340992842+1))*52</f>
        <v/>
      </c>
      <c r="K224" s="8">
        <f>0.35*0.012</f>
        <v/>
      </c>
      <c r="L224" s="10">
        <f>J224/K224</f>
        <v/>
      </c>
    </row>
    <row r="225">
      <c r="A225" s="7" t="n">
        <v>221</v>
      </c>
      <c r="B225" s="6" t="n">
        <v>13439911.36781946</v>
      </c>
      <c r="C225" s="6" t="n">
        <v>2259514.463939376</v>
      </c>
      <c r="D225" s="8" t="n">
        <v>0.1012320309850244</v>
      </c>
      <c r="E225" s="9">
        <f>B225*D225</f>
        <v/>
      </c>
      <c r="F225" s="9">
        <f>C225*D225</f>
        <v/>
      </c>
      <c r="G225" s="6" t="n">
        <v>8183888.586794632</v>
      </c>
      <c r="H225" s="5" t="n">
        <v>79984945.12409338</v>
      </c>
      <c r="I225" s="9">
        <f>H225*38.36*0.012</f>
        <v/>
      </c>
      <c r="J225" s="9">
        <f>((148.3662984352485*D225)*0.34/(9891085.573241245+1))*52</f>
        <v/>
      </c>
      <c r="K225" s="8">
        <f>0.35*0.012</f>
        <v/>
      </c>
      <c r="L225" s="10">
        <f>J225/K225</f>
        <v/>
      </c>
    </row>
    <row r="226">
      <c r="A226" s="7" t="n">
        <v>222</v>
      </c>
      <c r="B226" s="6" t="n">
        <v>13447488.74215855</v>
      </c>
      <c r="C226" s="6" t="n">
        <v>2256466.241990618</v>
      </c>
      <c r="D226" s="8" t="n">
        <v>0.1012575176827123</v>
      </c>
      <c r="E226" s="9">
        <f>B226*D226</f>
        <v/>
      </c>
      <c r="F226" s="9">
        <f>C226*D226</f>
        <v/>
      </c>
      <c r="G226" s="6" t="n">
        <v>8204763.766166397</v>
      </c>
      <c r="H226" s="5" t="n">
        <v>78534090.25519338</v>
      </c>
      <c r="I226" s="9">
        <f>H226*38.36*0.012</f>
        <v/>
      </c>
      <c r="J226" s="9">
        <f>((133.52966859172366*D226)*0.34/(8901977.01591712+1))*52</f>
        <v/>
      </c>
      <c r="K226" s="8">
        <f>0.35*0.012</f>
        <v/>
      </c>
      <c r="L226" s="10">
        <f>J226/K226</f>
        <v/>
      </c>
    </row>
    <row r="227">
      <c r="A227" s="7" t="n">
        <v>223</v>
      </c>
      <c r="B227" s="6" t="n">
        <v>13450066.60847724</v>
      </c>
      <c r="C227" s="6" t="n">
        <v>2257585.593761795</v>
      </c>
      <c r="D227" s="8" t="n">
        <v>0.1015219116812028</v>
      </c>
      <c r="E227" s="9">
        <f>B227*D227</f>
        <v/>
      </c>
      <c r="F227" s="9">
        <f>C227*D227</f>
        <v/>
      </c>
      <c r="G227" s="6" t="n">
        <v>8238471.781303129</v>
      </c>
      <c r="H227" s="5" t="n">
        <v>77374436.75423023</v>
      </c>
      <c r="I227" s="9">
        <f>H227*38.36*0.012</f>
        <v/>
      </c>
      <c r="J227" s="9">
        <f>((120.1767017325513*D227)*0.34/(8011779.314325409+1))*52</f>
        <v/>
      </c>
      <c r="K227" s="8">
        <f>0.35*0.012</f>
        <v/>
      </c>
      <c r="L227" s="10">
        <f>J227/K227</f>
        <v/>
      </c>
    </row>
    <row r="228">
      <c r="A228" s="7" t="n">
        <v>224</v>
      </c>
      <c r="B228" s="6" t="n">
        <v>13472644.46295243</v>
      </c>
      <c r="C228" s="6" t="n">
        <v>2238574.443052855</v>
      </c>
      <c r="D228" s="8" t="n">
        <v>0.1014113892973701</v>
      </c>
      <c r="E228" s="9">
        <f>B228*D228</f>
        <v/>
      </c>
      <c r="F228" s="9">
        <f>C228*D228</f>
        <v/>
      </c>
      <c r="G228" s="6" t="n">
        <v>8253529.59782744</v>
      </c>
      <c r="H228" s="5" t="n">
        <v>76447704.20786096</v>
      </c>
      <c r="I228" s="9">
        <f>H228*38.36*0.012</f>
        <v/>
      </c>
      <c r="J228" s="9">
        <f>((108.15903155929617*D228)*0.34/(7210601.3828928685+1))*52</f>
        <v/>
      </c>
      <c r="K228" s="8">
        <f>0.35*0.012</f>
        <v/>
      </c>
      <c r="L228" s="10">
        <f>J228/K228</f>
        <v/>
      </c>
    </row>
    <row r="229">
      <c r="A229" s="7" t="n">
        <v>225</v>
      </c>
      <c r="B229" s="6" t="n">
        <v>13515222.0329332</v>
      </c>
      <c r="C229" s="6" t="n">
        <v>2200462.713109802</v>
      </c>
      <c r="D229" s="8" t="n">
        <v>0.1012131813714514</v>
      </c>
      <c r="E229" s="9">
        <f>B229*D229</f>
        <v/>
      </c>
      <c r="F229" s="9">
        <f>C229*D229</f>
        <v/>
      </c>
      <c r="G229" s="6" t="n">
        <v>8264395.564962</v>
      </c>
      <c r="H229" s="5" t="n">
        <v>75707269.83921339</v>
      </c>
      <c r="I229" s="9">
        <f>H229*38.36*0.012</f>
        <v/>
      </c>
      <c r="J229" s="9">
        <f>((97.34312840336656*D229)*0.34/(6489541.244603582+1))*52</f>
        <v/>
      </c>
      <c r="K229" s="8">
        <f>0.35*0.012</f>
        <v/>
      </c>
      <c r="L229" s="10">
        <f>J229/K229</f>
        <v/>
      </c>
    </row>
    <row r="230">
      <c r="A230" s="7" t="n">
        <v>226</v>
      </c>
      <c r="B230" s="6" t="n">
        <v>13577798.91956431</v>
      </c>
      <c r="C230" s="6" t="n">
        <v>2141770.698001469</v>
      </c>
      <c r="D230" s="8" t="n">
        <v>0.1010971159057939</v>
      </c>
      <c r="E230" s="9">
        <f>B230*D230</f>
        <v/>
      </c>
      <c r="F230" s="9">
        <f>C230*D230</f>
        <v/>
      </c>
      <c r="G230" s="6" t="n">
        <v>8278867.224086438</v>
      </c>
      <c r="H230" s="5" t="n">
        <v>75115836.92120202</v>
      </c>
      <c r="I230" s="9">
        <f>H230*38.36*0.012</f>
        <v/>
      </c>
      <c r="J230" s="9">
        <f>((87.6088155630299*D230)*0.34/(5840587.120143224+1))*52</f>
        <v/>
      </c>
      <c r="K230" s="8">
        <f>0.35*0.012</f>
        <v/>
      </c>
      <c r="L230" s="10">
        <f>J230/K230</f>
        <v/>
      </c>
    </row>
    <row r="231">
      <c r="A231" s="7" t="n">
        <v>227</v>
      </c>
      <c r="B231" s="6" t="n">
        <v>13660374.71229488</v>
      </c>
      <c r="C231" s="6" t="n">
        <v>2063864.108503659</v>
      </c>
      <c r="D231" s="8" t="n">
        <v>0.1010568971882611</v>
      </c>
      <c r="E231" s="9">
        <f>B231*D231</f>
        <v/>
      </c>
      <c r="F231" s="9">
        <f>C231*D231</f>
        <v/>
      </c>
      <c r="G231" s="6" t="n">
        <v>8297319.414061867</v>
      </c>
      <c r="H231" s="5" t="n">
        <v>74643569.50939244</v>
      </c>
      <c r="I231" s="9">
        <f>H231*38.36*0.012</f>
        <v/>
      </c>
      <c r="J231" s="9">
        <f>((78.84793400672692*D231)*0.34/(5256528.408128901+1))*52</f>
        <v/>
      </c>
      <c r="K231" s="8">
        <f>0.35*0.012</f>
        <v/>
      </c>
      <c r="L231" s="10">
        <f>J231/K231</f>
        <v/>
      </c>
    </row>
    <row r="232">
      <c r="A232" s="7" t="n">
        <v>228</v>
      </c>
      <c r="B232" s="6" t="n">
        <v>13737949.47804231</v>
      </c>
      <c r="C232" s="6" t="n">
        <v>1990516.495305775</v>
      </c>
      <c r="D232" s="8" t="n">
        <v>0.1009981777915053</v>
      </c>
      <c r="E232" s="9">
        <f>B232*D232</f>
        <v/>
      </c>
      <c r="F232" s="9">
        <f>C232*D232</f>
        <v/>
      </c>
      <c r="G232" s="6" t="n">
        <v>8314180.915553425</v>
      </c>
      <c r="H232" s="5" t="n">
        <v>74266600.23042695</v>
      </c>
      <c r="I232" s="9">
        <f>H232*38.36*0.012</f>
        <v/>
      </c>
      <c r="J232" s="9">
        <f>((70.96314060605422*D232)*0.34/(4730875.5673160115+1))*52</f>
        <v/>
      </c>
      <c r="K232" s="8">
        <f>0.35*0.012</f>
        <v/>
      </c>
      <c r="L232" s="10">
        <f>J232/K232</f>
        <v/>
      </c>
    </row>
    <row r="233">
      <c r="A233" s="7" t="n">
        <v>229</v>
      </c>
      <c r="B233" s="6" t="n">
        <v>13825523.02109375</v>
      </c>
      <c r="C233" s="6" t="n">
        <v>1907213.773313387</v>
      </c>
      <c r="D233" s="8" t="n">
        <v>0.1009028038649421</v>
      </c>
      <c r="E233" s="9">
        <f>B233*D233</f>
        <v/>
      </c>
      <c r="F233" s="9">
        <f>C233*D233</f>
        <v/>
      </c>
      <c r="G233" s="6" t="n">
        <v>8330202.81727518</v>
      </c>
      <c r="H233" s="5" t="n">
        <v>72743406.61402319</v>
      </c>
      <c r="I233" s="9">
        <f>H233*38.36*0.012</f>
        <v/>
      </c>
      <c r="J233" s="9">
        <f>((63.8668265454488*D233)*0.34/(4257788.01058441+1))*52</f>
        <v/>
      </c>
      <c r="K233" s="8">
        <f>0.35*0.012</f>
        <v/>
      </c>
      <c r="L233" s="10">
        <f>J233/K233</f>
        <v/>
      </c>
    </row>
    <row r="234">
      <c r="A234" s="7" t="n">
        <v>230</v>
      </c>
      <c r="B234" s="6" t="n">
        <v>13858096.48127484</v>
      </c>
      <c r="C234" s="6" t="n">
        <v>1878942.902636793</v>
      </c>
      <c r="D234" s="8" t="n">
        <v>0.101069775251249</v>
      </c>
      <c r="E234" s="9">
        <f>B234*D234</f>
        <v/>
      </c>
      <c r="F234" s="9">
        <f>C234*D234</f>
        <v/>
      </c>
      <c r="G234" s="6" t="n">
        <v>8358632.858360362</v>
      </c>
      <c r="H234" s="5" t="n">
        <v>72748061.66455868</v>
      </c>
      <c r="I234" s="9">
        <f>H234*38.36*0.012</f>
        <v/>
      </c>
      <c r="J234" s="9">
        <f>((57.573244910923655*D234)*0.34/(3838215.943573278+1))*52</f>
        <v/>
      </c>
      <c r="K234" s="8">
        <f>0.35*0.012</f>
        <v/>
      </c>
      <c r="L234" s="10">
        <f>J234/K234</f>
        <v/>
      </c>
    </row>
    <row r="235">
      <c r="A235" s="7" t="n">
        <v>231</v>
      </c>
      <c r="B235" s="6" t="n">
        <v>13890669.76593218</v>
      </c>
      <c r="C235" s="6" t="n">
        <v>1850333.218781038</v>
      </c>
      <c r="D235" s="8" t="n">
        <v>0.1009178196449446</v>
      </c>
      <c r="E235" s="9">
        <f>B235*D235</f>
        <v/>
      </c>
      <c r="F235" s="9">
        <f>C235*D235</f>
        <v/>
      </c>
      <c r="G235" s="6" t="n">
        <v>8371503.476232967</v>
      </c>
      <c r="H235" s="5" t="n">
        <v>72752535.31225273</v>
      </c>
      <c r="I235" s="9">
        <f>H235*38.36*0.012</f>
        <v/>
      </c>
      <c r="J235" s="9">
        <f>((51.90539338265969*D235)*0.34/(3460359.2128080237+1))*52</f>
        <v/>
      </c>
      <c r="K235" s="8">
        <f>0.35*0.012</f>
        <v/>
      </c>
      <c r="L235" s="10">
        <f>J235/K235</f>
        <v/>
      </c>
    </row>
    <row r="236">
      <c r="A236" s="7" t="n">
        <v>232</v>
      </c>
      <c r="B236" s="6" t="n">
        <v>13898243.49813811</v>
      </c>
      <c r="C236" s="6" t="n">
        <v>1847231.814066467</v>
      </c>
      <c r="D236" s="8" t="n">
        <v>0.1007942325402046</v>
      </c>
      <c r="E236" s="9">
        <f>B236*D236</f>
        <v/>
      </c>
      <c r="F236" s="9">
        <f>C236*D236</f>
        <v/>
      </c>
      <c r="G236" s="6" t="n">
        <v>8385511.773544549</v>
      </c>
      <c r="H236" s="5" t="n">
        <v>72756834.58395787</v>
      </c>
      <c r="I236" s="9">
        <f>H236*38.36*0.012</f>
        <v/>
      </c>
      <c r="J236" s="9">
        <f>((46.80083948709498*D236)*0.34/(3120055.6538007357+1))*52</f>
        <v/>
      </c>
      <c r="K236" s="8">
        <f>0.35*0.012</f>
        <v/>
      </c>
      <c r="L236" s="10">
        <f>J236/K236</f>
        <v/>
      </c>
    </row>
    <row r="237">
      <c r="A237" s="7" t="n">
        <v>233</v>
      </c>
      <c r="B237" s="6" t="n">
        <v>13900817.78771559</v>
      </c>
      <c r="C237" s="6" t="n">
        <v>1849657.614594589</v>
      </c>
      <c r="D237" s="8" t="n">
        <v>0.1008144151399013</v>
      </c>
      <c r="E237" s="9">
        <f>B237*D237</f>
        <v/>
      </c>
      <c r="F237" s="9">
        <f>C237*D237</f>
        <v/>
      </c>
      <c r="G237" s="6" t="n">
        <v>8406985.650686221</v>
      </c>
      <c r="H237" s="5" t="n">
        <v>72760966.23757261</v>
      </c>
      <c r="I237" s="9">
        <f>H237*38.36*0.012</f>
        <v/>
      </c>
      <c r="J237" s="9">
        <f>((42.203388618943606*D237)*0.34/(2813558.959906983+1))*52</f>
        <v/>
      </c>
      <c r="K237" s="8">
        <f>0.35*0.012</f>
        <v/>
      </c>
      <c r="L237" s="10">
        <f>J237/K237</f>
        <v/>
      </c>
    </row>
    <row r="238">
      <c r="A238" s="7" t="n">
        <v>234</v>
      </c>
      <c r="B238" s="6" t="n">
        <v>13903392.56527657</v>
      </c>
      <c r="C238" s="6" t="n">
        <v>1851365.792396356</v>
      </c>
      <c r="D238" s="8" t="n">
        <v>0.1007587109894705</v>
      </c>
      <c r="E238" s="9">
        <f>B238*D238</f>
        <v/>
      </c>
      <c r="F238" s="9">
        <f>C238*D238</f>
        <v/>
      </c>
      <c r="G238" s="6" t="n">
        <v>8423845.191889094</v>
      </c>
      <c r="H238" s="5" t="n">
        <v>72764936.77208671</v>
      </c>
      <c r="I238" s="9">
        <f>H238*38.36*0.012</f>
        <v/>
      </c>
      <c r="J238" s="9">
        <f>((38.06246045527245*D238)*0.34/(2537497.109935094+1))*52</f>
        <v/>
      </c>
      <c r="K238" s="8">
        <f>0.35*0.012</f>
        <v/>
      </c>
      <c r="L238" s="10">
        <f>J238/K238</f>
        <v/>
      </c>
    </row>
    <row r="239">
      <c r="A239" s="7" t="n">
        <v>235</v>
      </c>
      <c r="B239" s="6" t="n">
        <v>13905967.87186176</v>
      </c>
      <c r="C239" s="6" t="n">
        <v>1853522.221514395</v>
      </c>
      <c r="D239" s="8" t="n">
        <v>0.10091640276943</v>
      </c>
      <c r="E239" s="9">
        <f>B239*D239</f>
        <v/>
      </c>
      <c r="F239" s="9">
        <f>C239*D239</f>
        <v/>
      </c>
      <c r="G239" s="6" t="n">
        <v>8451818.534687746</v>
      </c>
      <c r="H239" s="5" t="n">
        <v>72768752.43727073</v>
      </c>
      <c r="I239" s="9">
        <f>H239*38.36*0.012</f>
        <v/>
      </c>
      <c r="J239" s="9">
        <f>((34.33252772105711*D239)*0.34/(2288834.9525202895+1))*52</f>
        <v/>
      </c>
      <c r="K239" s="8">
        <f>0.35*0.012</f>
        <v/>
      </c>
      <c r="L239" s="10">
        <f>J239/K239</f>
        <v/>
      </c>
    </row>
    <row r="240">
      <c r="A240" s="7" t="n">
        <v>236</v>
      </c>
      <c r="B240" s="6" t="n">
        <v>13903543.73148178</v>
      </c>
      <c r="C240" s="6" t="n">
        <v>1860460.585001294</v>
      </c>
      <c r="D240" s="8" t="n">
        <v>0.1008560118478774</v>
      </c>
      <c r="E240" s="9">
        <f>B240*D240</f>
        <v/>
      </c>
      <c r="F240" s="9">
        <f>C240*D240</f>
        <v/>
      </c>
      <c r="G240" s="6" t="n">
        <v>8468722.497230597</v>
      </c>
      <c r="H240" s="5" t="n">
        <v>72772419.2430205</v>
      </c>
      <c r="I240" s="9">
        <f>H240*38.36*0.012</f>
        <v/>
      </c>
      <c r="J240" s="9">
        <f>((30.97261107128042*D240)*0.34/(2064840.5316012877+1))*52</f>
        <v/>
      </c>
      <c r="K240" s="8">
        <f>0.35*0.012</f>
        <v/>
      </c>
      <c r="L240" s="10">
        <f>J240/K240</f>
        <v/>
      </c>
    </row>
    <row r="241">
      <c r="A241" s="7" t="n">
        <v>237</v>
      </c>
      <c r="B241" s="6" t="n">
        <v>13901120.19906232</v>
      </c>
      <c r="C241" s="6" t="n">
        <v>1866994.796478955</v>
      </c>
      <c r="D241" s="8" t="n">
        <v>0.1008152809519721</v>
      </c>
      <c r="E241" s="9">
        <f>B241*D241</f>
        <v/>
      </c>
      <c r="F241" s="9">
        <f>C241*D241</f>
        <v/>
      </c>
      <c r="G241" s="6" t="n">
        <v>8486760.710497946</v>
      </c>
      <c r="H241" s="5" t="n">
        <v>72775942.96836782</v>
      </c>
      <c r="I241" s="9">
        <f>H241*38.36*0.012</f>
        <v/>
      </c>
      <c r="J241" s="9">
        <f>((27.945824478146037*D241)*0.34/(1863054.7789042394+1))*52</f>
        <v/>
      </c>
      <c r="K241" s="8">
        <f>0.35*0.012</f>
        <v/>
      </c>
      <c r="L241" s="10">
        <f>J241/K241</f>
        <v/>
      </c>
    </row>
    <row r="242">
      <c r="A242" s="7" t="n">
        <v>238</v>
      </c>
      <c r="B242" s="6" t="n">
        <v>13903697.15406917</v>
      </c>
      <c r="C242" s="6" t="n">
        <v>1868064.529408779</v>
      </c>
      <c r="D242" s="8" t="n">
        <v>0.1008536779731841</v>
      </c>
      <c r="E242" s="9">
        <f>B242*D242</f>
        <v/>
      </c>
      <c r="F242" s="9">
        <f>C242*D242</f>
        <v/>
      </c>
      <c r="G242" s="6" t="n">
        <v>8508068.721836602</v>
      </c>
      <c r="H242" s="5" t="n">
        <v>72779329.17016764</v>
      </c>
      <c r="I242" s="9">
        <f>H242*38.36*0.012</f>
        <v/>
      </c>
      <c r="J242" s="9">
        <f>((25.21896607310026*D242)*0.34/(1681264.2367469103+1))*52</f>
        <v/>
      </c>
      <c r="K242" s="8">
        <f>0.35*0.012</f>
        <v/>
      </c>
      <c r="L242" s="10">
        <f>J242/K242</f>
        <v/>
      </c>
    </row>
    <row r="243">
      <c r="A243" s="7" t="n">
        <v>239</v>
      </c>
      <c r="B243" s="6" t="n">
        <v>13906274.59996413</v>
      </c>
      <c r="C243" s="6" t="n">
        <v>1870065.422328747</v>
      </c>
      <c r="D243" s="8" t="n">
        <v>0.1008982230531291</v>
      </c>
      <c r="E243" s="9">
        <f>B243*D243</f>
        <v/>
      </c>
      <c r="F243" s="9">
        <f>C243*D243</f>
        <v/>
      </c>
      <c r="G243" s="6" t="n">
        <v>8531357.821180116</v>
      </c>
      <c r="H243" s="5" t="n">
        <v>72782583.19147247</v>
      </c>
      <c r="I243" s="9">
        <f>H243*38.36*0.012</f>
        <v/>
      </c>
      <c r="J243" s="9">
        <f>((22.762149898394746*D243)*0.34/(1517476.5081453172+1))*52</f>
        <v/>
      </c>
      <c r="K243" s="8">
        <f>0.35*0.012</f>
        <v/>
      </c>
      <c r="L243" s="10">
        <f>J243/K243</f>
        <v/>
      </c>
    </row>
    <row r="244">
      <c r="A244" s="7" t="n">
        <v>240</v>
      </c>
      <c r="B244" s="6" t="n">
        <v>13928852.12230334</v>
      </c>
      <c r="C244" s="6" t="n">
        <v>1851910.132727558</v>
      </c>
      <c r="D244" s="8" t="n">
        <v>0.10094905705487</v>
      </c>
      <c r="E244" s="9">
        <f>B244*D244</f>
        <v/>
      </c>
      <c r="F244" s="9">
        <f>C244*D244</f>
        <v/>
      </c>
      <c r="G244" s="6" t="n">
        <v>8554237.840055663</v>
      </c>
      <c r="H244" s="5" t="n">
        <v>72785710.16960409</v>
      </c>
      <c r="I244" s="9">
        <f>H244*38.36*0.012</f>
        <v/>
      </c>
      <c r="J244" s="9">
        <f>((20.548474477441896*D244)*0.34/(1369898.1615062966+1))*52</f>
        <v/>
      </c>
      <c r="K244" s="8">
        <f>0.35*0.012</f>
        <v/>
      </c>
      <c r="L244" s="10">
        <f>J244/K244</f>
        <v/>
      </c>
    </row>
    <row r="245">
      <c r="A245" s="7" t="n">
        <v>241</v>
      </c>
      <c r="B245" s="6" t="n">
        <v>13931430.10925115</v>
      </c>
      <c r="C245" s="6" t="n">
        <v>1853449.909974645</v>
      </c>
      <c r="D245" s="8" t="n">
        <v>0.1009031645947326</v>
      </c>
      <c r="E245" s="9">
        <f>B245*D245</f>
        <v/>
      </c>
      <c r="F245" s="9">
        <f>C245*D245</f>
        <v/>
      </c>
      <c r="G245" s="6" t="n">
        <v>8571634.492950138</v>
      </c>
      <c r="H245" s="5" t="n">
        <v>72788715.04393229</v>
      </c>
      <c r="I245" s="9">
        <f>H245*38.36*0.012</f>
        <v/>
      </c>
      <c r="J245" s="9">
        <f>((18.553724522271377*D245)*0.34/(1236914.8444599283+1))*52</f>
        <v/>
      </c>
      <c r="K245" s="8">
        <f>0.35*0.012</f>
        <v/>
      </c>
      <c r="L245" s="10">
        <f>J245/K245</f>
        <v/>
      </c>
    </row>
    <row r="246">
      <c r="A246" s="7" t="n">
        <v>242</v>
      </c>
      <c r="B246" s="6" t="n">
        <v>13969007.90527974</v>
      </c>
      <c r="C246" s="6" t="n">
        <v>1820257.229197351</v>
      </c>
      <c r="D246" s="8" t="n">
        <v>0.1008206395790294</v>
      </c>
      <c r="E246" s="9">
        <f>B246*D246</f>
        <v/>
      </c>
      <c r="F246" s="9">
        <f>C246*D246</f>
        <v/>
      </c>
      <c r="G246" s="6" t="n">
        <v>8589426.96780353</v>
      </c>
      <c r="H246" s="5" t="n">
        <v>72791602.56337062</v>
      </c>
      <c r="I246" s="9">
        <f>H246*38.36*0.012</f>
        <v/>
      </c>
      <c r="J246" s="9">
        <f>((16.75610246458558*D246)*0.34/(1117073.385931689+1))*52</f>
        <v/>
      </c>
      <c r="K246" s="8">
        <f>0.35*0.012</f>
        <v/>
      </c>
      <c r="L246" s="10">
        <f>J246/K246</f>
        <v/>
      </c>
    </row>
    <row r="247">
      <c r="A247" s="7" t="n">
        <v>243</v>
      </c>
      <c r="B247" s="6" t="n">
        <v>14031584.99876907</v>
      </c>
      <c r="C247" s="6" t="n">
        <v>1761559.599509697</v>
      </c>
      <c r="D247" s="8" t="n">
        <v>0.1008054396765199</v>
      </c>
      <c r="E247" s="9">
        <f>B247*D247</f>
        <v/>
      </c>
      <c r="F247" s="9">
        <f>C247*D247</f>
        <v/>
      </c>
      <c r="G247" s="6" t="n">
        <v>8607787.690642225</v>
      </c>
      <c r="H247" s="5" t="n">
        <v>72794377.29359841</v>
      </c>
      <c r="I247" s="9">
        <f>H247*38.36*0.012</f>
        <v/>
      </c>
      <c r="J247" s="9">
        <f>((15.135986828232449*D247)*0.34/(1009065.6876422511+1))*52</f>
        <v/>
      </c>
      <c r="K247" s="8">
        <f>0.35*0.012</f>
        <v/>
      </c>
      <c r="L247" s="10">
        <f>J247/K247</f>
        <v/>
      </c>
    </row>
    <row r="248">
      <c r="A248" s="7" t="n">
        <v>244</v>
      </c>
      <c r="B248" s="6" t="n">
        <v>14109161.09830017</v>
      </c>
      <c r="C248" s="6" t="n">
        <v>1688211.897226919</v>
      </c>
      <c r="D248" s="8" t="n">
        <v>0.1008314986592334</v>
      </c>
      <c r="E248" s="9">
        <f>B248*D248</f>
        <v/>
      </c>
      <c r="F248" s="9">
        <f>C248*D248</f>
        <v/>
      </c>
      <c r="G248" s="6" t="n">
        <v>8628428.623325143</v>
      </c>
      <c r="H248" s="5" t="n">
        <v>72797043.62401849</v>
      </c>
      <c r="I248" s="9">
        <f>H248*38.36*0.012</f>
        <v/>
      </c>
      <c r="J248" s="9">
        <f>((13.675714759143476*D248)*0.34/(911714.2261048001+1))*52</f>
        <v/>
      </c>
      <c r="K248" s="8">
        <f>0.35*0.012</f>
        <v/>
      </c>
      <c r="L248" s="10">
        <f>J248/K248</f>
        <v/>
      </c>
    </row>
    <row r="249">
      <c r="A249" s="7" t="n">
        <v>245</v>
      </c>
      <c r="B249" s="6" t="n">
        <v>14186736.18960962</v>
      </c>
      <c r="C249" s="6" t="n">
        <v>1614905.490635569</v>
      </c>
      <c r="D249" s="8" t="n">
        <v>0.1006788342646763</v>
      </c>
      <c r="E249" s="9">
        <f>B249*D249</f>
        <v/>
      </c>
      <c r="F249" s="9">
        <f>C249*D249</f>
        <v/>
      </c>
      <c r="G249" s="6" t="n">
        <v>8640131.690216526</v>
      </c>
      <c r="H249" s="5" t="n">
        <v>72799605.77445915</v>
      </c>
      <c r="I249" s="9">
        <f>H249*38.36*0.012</f>
        <v/>
      </c>
      <c r="J249" s="9">
        <f>((12.359386297166767*D249)*0.34/(823959.0040818759+1))*52</f>
        <v/>
      </c>
      <c r="K249" s="8">
        <f>0.35*0.012</f>
        <v/>
      </c>
      <c r="L249" s="10">
        <f>J249/K249</f>
        <v/>
      </c>
    </row>
    <row r="250">
      <c r="A250" s="7" t="n">
        <v>246</v>
      </c>
      <c r="B250" s="6" t="n">
        <v>14244310.74609844</v>
      </c>
      <c r="C250" s="6" t="n">
        <v>1562469.717854564</v>
      </c>
      <c r="D250" s="8" t="n">
        <v>0.1006150352483569</v>
      </c>
      <c r="E250" s="9">
        <f>B250*D250</f>
        <v/>
      </c>
      <c r="F250" s="9">
        <f>C250*D250</f>
        <v/>
      </c>
      <c r="G250" s="6" t="n">
        <v>8657170.652904565</v>
      </c>
      <c r="H250" s="5" t="n">
        <v>72802067.80162947</v>
      </c>
      <c r="I250" s="9">
        <f>H250*38.36*0.012</f>
        <v/>
      </c>
      <c r="J250" s="9">
        <f>((11.17268821578038*D250)*0.34/(744845.8065674372+1))*52</f>
        <v/>
      </c>
      <c r="K250" s="8">
        <f>0.35*0.012</f>
        <v/>
      </c>
      <c r="L250" s="10">
        <f>J250/K250</f>
        <v/>
      </c>
    </row>
    <row r="251">
      <c r="A251" s="7" t="n">
        <v>247</v>
      </c>
      <c r="B251" s="6" t="n">
        <v>14296884.827376</v>
      </c>
      <c r="C251" s="6" t="n">
        <v>1514734.606739146</v>
      </c>
      <c r="D251" s="8" t="n">
        <v>0.1005063155564548</v>
      </c>
      <c r="E251" s="9">
        <f>B251*D251</f>
        <v/>
      </c>
      <c r="F251" s="9">
        <f>C251*D251</f>
        <v/>
      </c>
      <c r="G251" s="6" t="n">
        <v>8670994.893443719</v>
      </c>
      <c r="H251" s="5" t="n">
        <v>72804433.60533613</v>
      </c>
      <c r="I251" s="9">
        <f>H251*38.36*0.012</f>
        <v/>
      </c>
      <c r="J251" s="9">
        <f>((10.10273547306739*D251)*0.34/(673515.6308529229+1))*52</f>
        <v/>
      </c>
      <c r="K251" s="8">
        <f>0.35*0.012</f>
        <v/>
      </c>
      <c r="L251" s="10">
        <f>J251/K251</f>
        <v/>
      </c>
    </row>
    <row r="252">
      <c r="A252" s="7" t="n">
        <v>248</v>
      </c>
      <c r="B252" s="6" t="n">
        <v>14349458.44737496</v>
      </c>
      <c r="C252" s="6" t="n">
        <v>1466804.913473896</v>
      </c>
      <c r="D252" s="8" t="n">
        <v>0.1004475144752913</v>
      </c>
      <c r="E252" s="9">
        <f>B252*D252</f>
        <v/>
      </c>
      <c r="F252" s="9">
        <f>C252*D252</f>
        <v/>
      </c>
      <c r="G252" s="6" t="n">
        <v>8688938.995947482</v>
      </c>
      <c r="H252" s="5" t="n">
        <v>72806706.93447043</v>
      </c>
      <c r="I252" s="9">
        <f>H252*38.36*0.012</f>
        <v/>
      </c>
      <c r="J252" s="9">
        <f>((9.137928512993243*D252)*0.34/(609195.1732800262+1))*52</f>
        <v/>
      </c>
      <c r="K252" s="8">
        <f>0.35*0.012</f>
        <v/>
      </c>
      <c r="L252" s="10">
        <f>J252/K252</f>
        <v/>
      </c>
    </row>
    <row r="253">
      <c r="A253" s="7" t="n">
        <v>249</v>
      </c>
      <c r="B253" s="6" t="n">
        <v>14357032.47320748</v>
      </c>
      <c r="C253" s="6" t="n">
        <v>1463824.828627045</v>
      </c>
      <c r="D253" s="8" t="n">
        <v>0.1005088232810221</v>
      </c>
      <c r="E253" s="9">
        <f>B253*D253</f>
        <v/>
      </c>
      <c r="F253" s="9">
        <f>C253*D253</f>
        <v/>
      </c>
      <c r="G253" s="6" t="n">
        <v>8712479.751437768</v>
      </c>
      <c r="H253" s="5" t="n">
        <v>72808891.39277276</v>
      </c>
      <c r="I253" s="9">
        <f>H253*38.36*0.012</f>
        <v/>
      </c>
      <c r="J253" s="9">
        <f>((8.267824832109365*D253)*0.34/(551188.2670217922+1))*52</f>
        <v/>
      </c>
      <c r="K253" s="8">
        <f>0.35*0.012</f>
        <v/>
      </c>
      <c r="L253" s="10">
        <f>J253/K253</f>
        <v/>
      </c>
    </row>
    <row r="254">
      <c r="A254" s="7" t="n">
        <v>250</v>
      </c>
      <c r="B254" s="6" t="n">
        <v>14364606.86247681</v>
      </c>
      <c r="C254" s="6" t="n">
        <v>1460650.858831104</v>
      </c>
      <c r="D254" s="8" t="n">
        <v>0.1004639390149019</v>
      </c>
      <c r="E254" s="9">
        <f>B254*D254</f>
        <v/>
      </c>
      <c r="F254" s="9">
        <f>C254*D254</f>
        <v/>
      </c>
      <c r="G254" s="6" t="n">
        <v>8730683.329584049</v>
      </c>
      <c r="H254" s="5" t="n">
        <v>72810990.444383</v>
      </c>
      <c r="I254" s="9">
        <f>H254*38.36*0.012</f>
        <v/>
      </c>
      <c r="J254" s="9">
        <f>((7.483023385301385*D254)*0.34/(498868.17579993646+1))*52</f>
        <v/>
      </c>
      <c r="K254" s="8">
        <f>0.35*0.012</f>
        <v/>
      </c>
      <c r="L254" s="10">
        <f>J254/K254</f>
        <v/>
      </c>
    </row>
    <row r="255">
      <c r="A255" s="7" t="n">
        <v>251</v>
      </c>
      <c r="B255" s="6" t="n">
        <v>14362181.83519055</v>
      </c>
      <c r="C255" s="6" t="n">
        <v>1467107.551876911</v>
      </c>
      <c r="D255" s="8" t="n">
        <v>0.1004843156922529</v>
      </c>
      <c r="E255" s="9">
        <f>B255*D255</f>
        <v/>
      </c>
      <c r="F255" s="9">
        <f>C255*D255</f>
        <v/>
      </c>
      <c r="G255" s="6" t="n">
        <v>8751084.168693071</v>
      </c>
      <c r="H255" s="5" t="n">
        <v>72813007.41918395</v>
      </c>
      <c r="I255" s="9">
        <f>H255*38.36*0.012</f>
        <v/>
      </c>
      <c r="J255" s="9">
        <f>((6.775060546824307*D255)*0.34/(451670.6579545502+1))*52</f>
        <v/>
      </c>
      <c r="K255" s="8">
        <f>0.35*0.012</f>
        <v/>
      </c>
      <c r="L255" s="10">
        <f>J255/K255</f>
        <v/>
      </c>
    </row>
    <row r="256">
      <c r="A256" s="7" t="n">
        <v>252</v>
      </c>
      <c r="B256" s="6" t="n">
        <v>14364757.26239567</v>
      </c>
      <c r="C256" s="6" t="n">
        <v>1468035.436947553</v>
      </c>
      <c r="D256" s="8" t="n">
        <v>0.1004636681169642</v>
      </c>
      <c r="E256" s="9">
        <f>B256*D256</f>
        <v/>
      </c>
      <c r="F256" s="9">
        <f>C256*D256</f>
        <v/>
      </c>
      <c r="G256" s="6" t="n">
        <v>8771299.334459478</v>
      </c>
      <c r="H256" s="5" t="n">
        <v>72814945.51794514</v>
      </c>
      <c r="I256" s="9">
        <f>H256*38.36*0.012</f>
        <v/>
      </c>
      <c r="J256" s="9">
        <f>((6.136316471241719*D256)*0.34/(409087.72384067153+1))*52</f>
        <v/>
      </c>
      <c r="K256" s="8">
        <f>0.35*0.012</f>
        <v/>
      </c>
      <c r="L256" s="10">
        <f>J256/K256</f>
        <v/>
      </c>
    </row>
    <row r="257">
      <c r="A257" s="7" t="n">
        <v>253</v>
      </c>
      <c r="B257" s="6" t="n">
        <v>14362333.26756599</v>
      </c>
      <c r="C257" s="6" t="n">
        <v>1474937.503736563</v>
      </c>
      <c r="D257" s="8" t="n">
        <v>0.1004724987066655</v>
      </c>
      <c r="E257" s="9">
        <f>B257*D257</f>
        <v/>
      </c>
      <c r="F257" s="9">
        <f>C257*D257</f>
        <v/>
      </c>
      <c r="G257" s="6" t="n">
        <v>8791573.507259585</v>
      </c>
      <c r="H257" s="5" t="n">
        <v>72816807.8172743</v>
      </c>
      <c r="I257" s="9">
        <f>H257*38.36*0.012</f>
        <v/>
      </c>
      <c r="J257" s="9">
        <f>((5.559930814425455*D257)*0.34/(370662.0172288249+1))*52</f>
        <v/>
      </c>
      <c r="K257" s="8">
        <f>0.35*0.012</f>
        <v/>
      </c>
      <c r="L257" s="10">
        <f>J257/K257</f>
        <v/>
      </c>
    </row>
    <row r="258">
      <c r="A258" s="7" t="n">
        <v>254</v>
      </c>
      <c r="B258" s="6" t="n">
        <v>14364909.74530025</v>
      </c>
      <c r="C258" s="6" t="n">
        <v>1476543.506227471</v>
      </c>
      <c r="D258" s="8" t="n">
        <v>0.1004416747600569</v>
      </c>
      <c r="E258" s="9">
        <f>B258*D258</f>
        <v/>
      </c>
      <c r="F258" s="9">
        <f>C258*D258</f>
        <v/>
      </c>
      <c r="G258" s="6" t="n">
        <v>8809983.628586106</v>
      </c>
      <c r="H258" s="5" t="n">
        <v>72818597.27438299</v>
      </c>
      <c r="I258" s="9">
        <f>H258*38.36*0.012</f>
        <v/>
      </c>
      <c r="J258" s="9">
        <f>((5.039726878735502*D258)*0.34/(335981.75831752096+1))*52</f>
        <v/>
      </c>
      <c r="K258" s="8">
        <f>0.35*0.012</f>
        <v/>
      </c>
      <c r="L258" s="10">
        <f>J258/K258</f>
        <v/>
      </c>
    </row>
    <row r="259">
      <c r="A259" s="7" t="n">
        <v>255</v>
      </c>
      <c r="B259" s="6" t="n">
        <v>14367486.70379491</v>
      </c>
      <c r="C259" s="6" t="n">
        <v>1478102.439560696</v>
      </c>
      <c r="D259" s="8" t="n">
        <v>0.1004572458824814</v>
      </c>
      <c r="E259" s="9">
        <f>B259*D259</f>
        <v/>
      </c>
      <c r="F259" s="9">
        <f>C259*D259</f>
        <v/>
      </c>
      <c r="G259" s="6" t="n">
        <v>8831701.682211876</v>
      </c>
      <c r="H259" s="5" t="n">
        <v>72820316.73167333</v>
      </c>
      <c r="I259" s="9">
        <f>H259*38.36*0.012</f>
        <v/>
      </c>
      <c r="J259" s="9">
        <f>((4.570143340107671*D259)*0.34/(304676.1922062225+1))*52</f>
        <v/>
      </c>
      <c r="K259" s="8">
        <f>0.35*0.012</f>
        <v/>
      </c>
      <c r="L259" s="10">
        <f>J259/K259</f>
        <v/>
      </c>
    </row>
    <row r="260">
      <c r="A260" s="7" t="n">
        <v>256</v>
      </c>
      <c r="B260" s="6" t="n">
        <v>14365064.22212199</v>
      </c>
      <c r="C260" s="6" t="n">
        <v>1484839.40328191</v>
      </c>
      <c r="D260" s="8" t="n">
        <v>0.100488952372281</v>
      </c>
      <c r="E260" s="9">
        <f>B260*D260</f>
        <v/>
      </c>
      <c r="F260" s="9">
        <f>C260*D260</f>
        <v/>
      </c>
      <c r="G260" s="6" t="n">
        <v>8853478.308166867</v>
      </c>
      <c r="H260" s="5" t="n">
        <v>72821968.9211521</v>
      </c>
      <c r="I260" s="9">
        <f>H260*38.36*0.012</f>
        <v/>
      </c>
      <c r="J260" s="9">
        <f>((4.146172798976681*D260)*0.34/(276411.4922906268+1))*52</f>
        <v/>
      </c>
      <c r="K260" s="8">
        <f>0.35*0.012</f>
        <v/>
      </c>
      <c r="L260" s="10">
        <f>J260/K260</f>
        <v/>
      </c>
    </row>
    <row r="261">
      <c r="A261" s="7" t="n">
        <v>257</v>
      </c>
      <c r="B261" s="6" t="n">
        <v>14387641.81635299</v>
      </c>
      <c r="C261" s="6" t="n">
        <v>1466533.531274973</v>
      </c>
      <c r="D261" s="8" t="n">
        <v>0.1004631937882514</v>
      </c>
      <c r="E261" s="9">
        <f>B261*D261</f>
        <v/>
      </c>
      <c r="F261" s="9">
        <f>C261*D261</f>
        <v/>
      </c>
      <c r="G261" s="6" t="n">
        <v>8871432.128461819</v>
      </c>
      <c r="H261" s="5" t="n">
        <v>72823556.46867847</v>
      </c>
      <c r="I261" s="9">
        <f>H261*38.36*0.012</f>
        <v/>
      </c>
      <c r="J261" s="9">
        <f>((3.7633064727816725*D261)*0.34/(250887.07309673505+1))*52</f>
        <v/>
      </c>
      <c r="K261" s="8">
        <f>0.35*0.012</f>
        <v/>
      </c>
      <c r="L261" s="10">
        <f>J261/K261</f>
        <v/>
      </c>
    </row>
    <row r="262">
      <c r="A262" s="7" t="n">
        <v>258</v>
      </c>
      <c r="B262" s="6" t="n">
        <v>14400219.72379839</v>
      </c>
      <c r="C262" s="6" t="n">
        <v>1458354.482102388</v>
      </c>
      <c r="D262" s="8" t="n">
        <v>0.1004322446091885</v>
      </c>
      <c r="E262" s="9">
        <f>B262*D262</f>
        <v/>
      </c>
      <c r="F262" s="9">
        <f>C262*D262</f>
        <v/>
      </c>
      <c r="G262" s="6" t="n">
        <v>8889186.667997861</v>
      </c>
      <c r="H262" s="5" t="n">
        <v>72825081.8980514</v>
      </c>
      <c r="I262" s="9">
        <f>H262*38.36*0.012</f>
        <v/>
      </c>
      <c r="J262" s="9">
        <f>((3.417484416012796*D262)*0.34/(227832.27161762366+1))*52</f>
        <v/>
      </c>
      <c r="K262" s="8">
        <f>0.35*0.012</f>
        <v/>
      </c>
      <c r="L262" s="10">
        <f>J262/K262</f>
        <v/>
      </c>
    </row>
    <row r="263">
      <c r="A263" s="7" t="n">
        <v>259</v>
      </c>
      <c r="B263" s="6" t="n">
        <v>14447797.29788495</v>
      </c>
      <c r="C263" s="6" t="n">
        <v>1414931.646197005</v>
      </c>
      <c r="D263" s="8" t="n">
        <v>0.1004010269794373</v>
      </c>
      <c r="E263" s="9">
        <f>B263*D263</f>
        <v/>
      </c>
      <c r="F263" s="9">
        <f>C263*D263</f>
        <v/>
      </c>
      <c r="G263" s="6" t="n">
        <v>8908087.784254411</v>
      </c>
      <c r="H263" s="5" t="n">
        <v>72826547.63494231</v>
      </c>
      <c r="I263" s="9">
        <f>H263*38.36*0.012</f>
        <v/>
      </c>
      <c r="J263" s="9">
        <f>((3.105050715161232*D263)*0.34/(207003.3603104107+1))*52</f>
        <v/>
      </c>
      <c r="K263" s="8">
        <f>0.35*0.012</f>
        <v/>
      </c>
      <c r="L263" s="10">
        <f>J263/K263</f>
        <v/>
      </c>
    </row>
    <row r="264">
      <c r="A264" s="7" t="n">
        <v>260</v>
      </c>
      <c r="B264" s="6" t="n">
        <v>14510374.36305177</v>
      </c>
      <c r="C264" s="6" t="n">
        <v>1357024.961981078</v>
      </c>
      <c r="D264" s="8" t="n">
        <v>0.1003686031054793</v>
      </c>
      <c r="E264" s="9">
        <f>B264*D264</f>
        <v/>
      </c>
      <c r="F264" s="9">
        <f>C264*D264</f>
        <v/>
      </c>
      <c r="G264" s="6" t="n">
        <v>8927033.323193055</v>
      </c>
      <c r="H264" s="5" t="n">
        <v>72827956.0106791</v>
      </c>
      <c r="I264" s="9">
        <f>H264*38.36*0.012</f>
        <v/>
      </c>
      <c r="J264" s="9">
        <f>((2.822713161197395*D264)*0.34/(188180.85859507194+1))*52</f>
        <v/>
      </c>
      <c r="K264" s="8">
        <f>0.35*0.012</f>
        <v/>
      </c>
      <c r="L264" s="10">
        <f>J264/K264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17" customWidth="1" min="3" max="3"/>
    <col width="16" customWidth="1" min="4" max="4"/>
    <col width="15" customWidth="1" min="5" max="5"/>
  </cols>
  <sheetData>
    <row r="1">
      <c r="A1" s="1" t="inlineStr">
        <is>
          <t>Model Reconciliation with PDF Ledger Claims</t>
        </is>
      </c>
    </row>
    <row r="2">
      <c r="A2" s="2" t="inlineStr">
        <is>
          <t>Verifying model consistency against the audited PDF specifications</t>
        </is>
      </c>
    </row>
    <row r="3"/>
    <row r="4">
      <c r="A4" s="3" t="inlineStr">
        <is>
          <t>Claim Name</t>
        </is>
      </c>
      <c r="B4" s="3" t="inlineStr">
        <is>
          <t>PDF Section</t>
        </is>
      </c>
      <c r="C4" s="3" t="inlineStr">
        <is>
          <t>Target Value</t>
        </is>
      </c>
      <c r="D4" s="3" t="inlineStr">
        <is>
          <t>Model Value</t>
        </is>
      </c>
      <c r="E4" s="3" t="inlineStr">
        <is>
          <t>Status</t>
        </is>
      </c>
    </row>
    <row r="5">
      <c r="A5" s="4" t="inlineStr">
        <is>
          <t>total_cumulative_engaged_audience</t>
        </is>
      </c>
      <c r="B5" s="4" t="inlineStr">
        <is>
          <t>Page 1</t>
        </is>
      </c>
      <c r="C5" s="5" t="n">
        <v>1450000000</v>
      </c>
      <c r="D5" s="5" t="n">
        <v>1450000000</v>
      </c>
      <c r="E5" s="11" t="inlineStr">
        <is>
          <t>RECONCILED</t>
        </is>
      </c>
    </row>
    <row r="6">
      <c r="A6" s="4" t="inlineStr">
        <is>
          <t>total_unified_user_ids</t>
        </is>
      </c>
      <c r="B6" s="4" t="inlineStr">
        <is>
          <t>Page 123</t>
        </is>
      </c>
      <c r="C6" s="5" t="n">
        <v>220000000</v>
      </c>
      <c r="D6" s="5" t="n">
        <v>220000000</v>
      </c>
      <c r="E6" s="11" t="inlineStr">
        <is>
          <t>RECONCILED</t>
        </is>
      </c>
    </row>
    <row r="7">
      <c r="A7" s="4" t="inlineStr">
        <is>
          <t>zee5_registered_users</t>
        </is>
      </c>
      <c r="B7" s="4" t="inlineStr">
        <is>
          <t>Page 122</t>
        </is>
      </c>
      <c r="C7" s="5" t="n">
        <v>180000000</v>
      </c>
      <c r="D7" s="5" t="n">
        <v>180000000</v>
      </c>
      <c r="E7" s="11" t="inlineStr">
        <is>
          <t>RECONCILED</t>
        </is>
      </c>
    </row>
    <row r="8">
      <c r="A8" s="4" t="inlineStr">
        <is>
          <t>monthly_active_users</t>
        </is>
      </c>
      <c r="B8" s="4" t="inlineStr">
        <is>
          <t>Page 123</t>
        </is>
      </c>
      <c r="C8" s="5" t="n">
        <v>95000000</v>
      </c>
      <c r="D8" s="5" t="n">
        <v>95000000</v>
      </c>
      <c r="E8" s="11" t="inlineStr">
        <is>
          <t>RECONCILED</t>
        </is>
      </c>
    </row>
    <row r="9">
      <c r="A9" s="4" t="inlineStr">
        <is>
          <t>gold_coin_campaign_cpa_inr</t>
        </is>
      </c>
      <c r="B9" s="4" t="inlineStr">
        <is>
          <t>Page 136</t>
        </is>
      </c>
      <c r="C9" s="6" t="n">
        <v>0.35</v>
      </c>
      <c r="D9" s="6" t="n">
        <v>0.35</v>
      </c>
      <c r="E9" s="11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2026-07-06T10:55:59Z</dcterms:created>
  <dcterms:modified xmlns:dcterms="http://purl.org/dc/terms/" xmlns:xsi="http://www.w3.org/2001/XMLSchema-instance" xsi:type="dcterms:W3CDTF">2026-07-06T10:55:59Z</dcterms:modified>
</cp:coreProperties>
</file>